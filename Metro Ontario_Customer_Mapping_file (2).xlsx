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customProperty11.bin" ContentType="application/vnd.openxmlformats-officedocument.spreadsheetml.customProperty"/>
  <Override PartName="/xl/drawings/drawing11.xml" ContentType="application/vnd.openxmlformats-officedocument.drawing+xml"/>
  <Override PartName="/xl/customProperty12.bin" ContentType="application/vnd.openxmlformats-officedocument.spreadsheetml.customProperty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customProperty13.bin" ContentType="application/vnd.openxmlformats-officedocument.spreadsheetml.customProperty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nmills.sharepoint.com/sites/instream/Shared Documents/Instream WAVE – 2/Instream Wave 2 Live documents/SAR/Canada/"/>
    </mc:Choice>
  </mc:AlternateContent>
  <xr:revisionPtr revIDLastSave="52" documentId="8_{2D643DE1-B8B1-4375-B5A5-F309EB33E2FA}" xr6:coauthVersionLast="47" xr6:coauthVersionMax="47" xr10:uidLastSave="{80B66CD8-0006-4426-93B5-318C9118A2E6}"/>
  <bookViews>
    <workbookView xWindow="-110" yWindow="-110" windowWidth="19420" windowHeight="10420" tabRatio="965" firstSheet="11" xr2:uid="{9C71A1BF-5F1B-4258-BC2B-DF708913B1B1}"/>
  </bookViews>
  <sheets>
    <sheet name="Allocation Distribution" sheetId="3" r:id="rId1"/>
    <sheet name="unloading fees " sheetId="2" r:id="rId2"/>
    <sheet name="TRANSPORTATION FEES" sheetId="4" r:id="rId3"/>
    <sheet name="Reduced" sheetId="5" r:id="rId4"/>
    <sheet name="Harm Dist" sheetId="6" r:id="rId5"/>
    <sheet name="&quot;Invendables-Unsaleables" sheetId="7" r:id="rId6"/>
    <sheet name="Overage" sheetId="15" r:id="rId7"/>
    <sheet name="Short Code" sheetId="8" r:id="rId8"/>
    <sheet name="Delisted" sheetId="12" r:id="rId9"/>
    <sheet name="not delivered as reuested" sheetId="10" r:id="rId10"/>
    <sheet name="Miscellaneous charges" sheetId="9" r:id="rId11"/>
    <sheet name="Non Compliance Fee" sheetId="11" r:id="rId12"/>
    <sheet name="Reclaim" sheetId="17" r:id="rId13"/>
  </sheet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<sst xmlns="http://schemas.openxmlformats.org/spreadsheetml/2006/main" count="1017" uniqueCount="101">
  <si>
    <t>CUSTOMER NAME</t>
  </si>
  <si>
    <t xml:space="preserve">
Assignment
</t>
  </si>
  <si>
    <t>INVOICE DATE</t>
  </si>
  <si>
    <t xml:space="preserve">Invoice total Amount </t>
  </si>
  <si>
    <t>Invoice Number NUMBER</t>
  </si>
  <si>
    <t>CUSTOMER PO NUMBER</t>
  </si>
  <si>
    <t>Promo START DATE</t>
  </si>
  <si>
    <t>promo END DATE</t>
  </si>
  <si>
    <t>DIVISION</t>
  </si>
  <si>
    <t>WAREHOUSE</t>
  </si>
  <si>
    <t>INVOICE AMOUNT (WITHOUT TAX)</t>
  </si>
  <si>
    <t>FEDERAL TAX AMOUNT</t>
  </si>
  <si>
    <t>PROVINCIAL TAX AMOUNT</t>
  </si>
  <si>
    <t>Customer Comments</t>
  </si>
  <si>
    <t>CUST PRODUCT CODE</t>
  </si>
  <si>
    <t>GMI UPC CODE</t>
  </si>
  <si>
    <t>DEDUCTION REASON</t>
  </si>
  <si>
    <t>DEDUCTION Code</t>
  </si>
  <si>
    <t xml:space="preserve">PRODUCT DESCRIPTION </t>
  </si>
  <si>
    <t>PO Number</t>
  </si>
  <si>
    <t>GMI QTY</t>
  </si>
  <si>
    <t>CUSTOMER QTY</t>
  </si>
  <si>
    <t>SHORTAGE QTY</t>
  </si>
  <si>
    <t>GMI RATE</t>
  </si>
  <si>
    <t>CUSTOMER RATE</t>
  </si>
  <si>
    <t>RATE DIFFERENCE</t>
  </si>
  <si>
    <t>OI Rate</t>
  </si>
  <si>
    <t>Swell Allowance</t>
  </si>
  <si>
    <t>Surcharge/Freight Rate</t>
  </si>
  <si>
    <t>Rate 1</t>
  </si>
  <si>
    <t>Rate 2</t>
  </si>
  <si>
    <t>LINE ITEM AMOUNT</t>
  </si>
  <si>
    <t>LINE ITEM DESC</t>
  </si>
  <si>
    <t>Deal Number</t>
  </si>
  <si>
    <t>Store Number</t>
  </si>
  <si>
    <t>Store Name</t>
  </si>
  <si>
    <t>Line FEDERAL TAX AMOUNT</t>
  </si>
  <si>
    <t>Line PROVINCIAL TAX AMOUNT</t>
  </si>
  <si>
    <t>Line DIVISION</t>
  </si>
  <si>
    <t>PO DATE</t>
  </si>
  <si>
    <t>Metro Ontario Inc.</t>
  </si>
  <si>
    <t>-</t>
  </si>
  <si>
    <t>Manually exclude tax from total and mention</t>
  </si>
  <si>
    <t>Allocation Distribution in $/Kg</t>
  </si>
  <si>
    <t>Customer logistics</t>
  </si>
  <si>
    <t>Trailer unloading fees $/caisse</t>
  </si>
  <si>
    <t>Customer Logistics</t>
  </si>
  <si>
    <t>I14545279</t>
  </si>
  <si>
    <t>TRANSPORTATION FEES INVOICE</t>
  </si>
  <si>
    <t>Freight</t>
  </si>
  <si>
    <t>The following items in your invoice were reduced</t>
  </si>
  <si>
    <t xml:space="preserve">31911503
</t>
  </si>
  <si>
    <t xml:space="preserve">10058300461929
</t>
  </si>
  <si>
    <t>Shortage</t>
  </si>
  <si>
    <t xml:space="preserve">OEPaso fajita seas.
</t>
  </si>
  <si>
    <t xml:space="preserve">200
</t>
  </si>
  <si>
    <t xml:space="preserve">180
</t>
  </si>
  <si>
    <t xml:space="preserve">29.54
</t>
  </si>
  <si>
    <t xml:space="preserve">590.80
</t>
  </si>
  <si>
    <t>OEPaso mild taco seas.</t>
  </si>
  <si>
    <t>Note: In case of pricing you can conside the deduction reason as "Pricing "</t>
  </si>
  <si>
    <r>
      <t xml:space="preserve">Note: keep the Customer qty &amp; customer price </t>
    </r>
    <r>
      <rPr>
        <b/>
        <sz val="11"/>
        <color theme="1"/>
        <rFont val="Calibri"/>
        <family val="2"/>
        <scheme val="minor"/>
      </rPr>
      <t>"blank"</t>
    </r>
    <r>
      <rPr>
        <sz val="11"/>
        <color theme="1"/>
        <rFont val="Calibri"/>
        <family val="2"/>
        <scheme val="minor"/>
      </rPr>
      <t xml:space="preserve"> when backups as 0 qty delivered</t>
    </r>
  </si>
  <si>
    <t>Notes for GBS</t>
  </si>
  <si>
    <t>Harm.Dist.Allow. %:</t>
  </si>
  <si>
    <t>Unsaleables</t>
  </si>
  <si>
    <t>Milk speciality(AT20)</t>
  </si>
  <si>
    <t>COND-Prod.hier.</t>
  </si>
  <si>
    <t>Yogurt(AT20)</t>
  </si>
  <si>
    <t>Invendables-Unsaleables
Référence MTR2011048 FROM JULY 5TH TO AUGUST</t>
  </si>
  <si>
    <t>$625.83</t>
  </si>
  <si>
    <t>Over shipped</t>
  </si>
  <si>
    <t>1/2 plt Cherrios Cereal Asstd</t>
  </si>
  <si>
    <t>$30,643.40</t>
  </si>
  <si>
    <t>Short Code</t>
  </si>
  <si>
    <t>Pill.prep.dough flaky rol 340g</t>
  </si>
  <si>
    <t>Code Date</t>
  </si>
  <si>
    <t>NOT ON PO</t>
  </si>
  <si>
    <t>Not Ordered</t>
  </si>
  <si>
    <t>Dump/Donate</t>
  </si>
  <si>
    <t>Donate</t>
  </si>
  <si>
    <t>Dump</t>
  </si>
  <si>
    <t>Delisted items</t>
  </si>
  <si>
    <t>DISCONTINUED</t>
  </si>
  <si>
    <t>Note: List of possible Key work added in deduction Reason</t>
  </si>
  <si>
    <t>Delisted</t>
  </si>
  <si>
    <t>Unsaleable</t>
  </si>
  <si>
    <t>EPIC GL.F.BEEF PROT.BAR</t>
  </si>
  <si>
    <t>Delisted-M0210145</t>
  </si>
  <si>
    <t>Note: If Tax not specfied, Always consider as GST</t>
  </si>
  <si>
    <t>RF20200113-136</t>
  </si>
  <si>
    <t>Not delivered as reuested</t>
  </si>
  <si>
    <t>not delivered as reuested</t>
  </si>
  <si>
    <t>Non complience</t>
  </si>
  <si>
    <t>14404390</t>
  </si>
  <si>
    <t>Miscellaneous charges -Service level shorfall penalty</t>
  </si>
  <si>
    <t>Non-complience</t>
  </si>
  <si>
    <t>ON-SNC-14434711</t>
  </si>
  <si>
    <t>Non Compliance Fee</t>
  </si>
  <si>
    <t>Reclaim Vendor none taxable</t>
  </si>
  <si>
    <t>Unsalable</t>
  </si>
  <si>
    <t>Reclaim Vendor taxable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</si>
</sst>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###,00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ourier New"/>
      <family val="3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4" borderId="2" applyNumberFormat="0" applyAlignment="0" applyProtection="0">
      <alignment horizontal="left" vertical="center" indent="1"/>
    </xf>
    <xf numFmtId="165" fontId="4" fillId="5" borderId="2" applyNumberFormat="0" applyAlignment="0" applyProtection="0">
      <alignment horizontal="left" vertical="center" indent="1"/>
    </xf>
    <xf numFmtId="165" fontId="4" fillId="0" borderId="3" applyNumberFormat="0" applyProtection="0">
      <alignment horizontal="right" vertical="center"/>
    </xf>
  </cellStyleXfs>
  <cellXfs count="48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6" fillId="2" borderId="4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horizontal="left" vertical="center"/>
    </xf>
    <xf numFmtId="0" fontId="7" fillId="0" borderId="7" xfId="0" applyFont="1" applyBorder="1"/>
    <xf numFmtId="14" fontId="7" fillId="0" borderId="7" xfId="0" applyNumberFormat="1" applyFont="1" applyBorder="1"/>
    <xf numFmtId="4" fontId="7" fillId="0" borderId="7" xfId="0" applyNumberFormat="1" applyFont="1" applyBorder="1"/>
    <xf numFmtId="0" fontId="7" fillId="0" borderId="7" xfId="0" applyFont="1" applyBorder="1" applyAlignment="1">
      <alignment wrapText="1"/>
    </xf>
    <xf numFmtId="4" fontId="7" fillId="0" borderId="7" xfId="0" applyNumberFormat="1" applyFont="1" applyBorder="1" applyAlignment="1">
      <alignment wrapText="1"/>
    </xf>
    <xf numFmtId="0" fontId="5" fillId="0" borderId="0" xfId="0" applyFont="1"/>
    <xf numFmtId="0" fontId="5" fillId="0" borderId="8" xfId="0" applyFont="1" applyBorder="1"/>
    <xf numFmtId="0" fontId="2" fillId="3" borderId="1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3" borderId="5" xfId="1" applyFont="1" applyFill="1" applyBorder="1" applyAlignment="1">
      <alignment horizontal="left" vertical="center" wrapText="1"/>
    </xf>
    <xf numFmtId="0" fontId="6" fillId="3" borderId="6" xfId="1" applyFont="1" applyFill="1" applyBorder="1" applyAlignment="1">
      <alignment horizontal="left" vertical="center" wrapText="1"/>
    </xf>
    <xf numFmtId="15" fontId="0" fillId="0" borderId="0" xfId="0" applyNumberForma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8" fillId="0" borderId="0" xfId="0" applyFont="1"/>
    <xf numFmtId="4" fontId="8" fillId="0" borderId="0" xfId="0" applyNumberFormat="1" applyFont="1"/>
    <xf numFmtId="0" fontId="9" fillId="6" borderId="9" xfId="0" applyFont="1" applyFill="1" applyBorder="1" applyAlignment="1">
      <alignment wrapText="1"/>
    </xf>
    <xf numFmtId="8" fontId="0" fillId="0" borderId="0" xfId="0" applyNumberFormat="1"/>
    <xf numFmtId="8" fontId="0" fillId="7" borderId="0" xfId="0" applyNumberFormat="1" applyFill="1"/>
    <xf numFmtId="0" fontId="0" fillId="7" borderId="0" xfId="0" applyFill="1"/>
    <xf numFmtId="0" fontId="10" fillId="2" borderId="4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left" vertical="center" wrapText="1"/>
    </xf>
    <xf numFmtId="0" fontId="10" fillId="3" borderId="5" xfId="1" applyFont="1" applyFill="1" applyBorder="1" applyAlignment="1">
      <alignment horizontal="left" vertical="center" wrapText="1"/>
    </xf>
    <xf numFmtId="0" fontId="10" fillId="3" borderId="6" xfId="1" applyFont="1" applyFill="1" applyBorder="1" applyAlignment="1">
      <alignment horizontal="left" vertical="center" wrapText="1"/>
    </xf>
    <xf numFmtId="0" fontId="11" fillId="0" borderId="7" xfId="0" applyFont="1" applyBorder="1"/>
    <xf numFmtId="0" fontId="7" fillId="0" borderId="0" xfId="0" applyFont="1"/>
    <xf numFmtId="0" fontId="7" fillId="0" borderId="0" xfId="0" applyFont="1" applyAlignment="1">
      <alignment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4" xfId="1" applyFont="1" applyFill="1" applyBorder="1" applyAlignment="1">
      <alignment horizontal="left" vertical="center" wrapText="1"/>
    </xf>
    <xf numFmtId="0" fontId="6" fillId="3" borderId="14" xfId="1" applyFont="1" applyFill="1" applyBorder="1" applyAlignment="1">
      <alignment horizontal="left" vertical="center" wrapText="1"/>
    </xf>
    <xf numFmtId="0" fontId="6" fillId="3" borderId="15" xfId="1" applyFont="1" applyFill="1" applyBorder="1" applyAlignment="1">
      <alignment horizontal="left" vertical="center" wrapText="1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5">
    <cellStyle name="Normal" xfId="0" builtinId="0"/>
    <cellStyle name="Normal 2" xfId="1" xr:uid="{8A37855F-369D-42B8-82CF-396BBA83B37D}"/>
    <cellStyle name="SAPDataCell" xfId="4" xr:uid="{43E403EF-4374-4403-92F3-1FDB7664537E}"/>
    <cellStyle name="SAPDimensionCell" xfId="2" xr:uid="{B602E402-D74F-45CF-97A2-0FD1E788B421}"/>
    <cellStyle name="SAPMemberCell" xfId="3" xr:uid="{7B96ABF1-BF71-4432-BEB7-4F7EBF31982C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3</xdr:row>
      <xdr:rowOff>11484</xdr:rowOff>
    </xdr:from>
    <xdr:to>
      <xdr:col>10</xdr:col>
      <xdr:colOff>685799</xdr:colOff>
      <xdr:row>35</xdr:row>
      <xdr:rowOff>180270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E4001-F661-458B-8AEF-E744742BA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1154484"/>
          <a:ext cx="7743825" cy="6264786"/>
        </a:xfrm>
        <a:prstGeom prst="rect">
          <a:avLst/>
        </a:prstGeom>
      </xdr:spPr>
    </xdr:pic>
    <xdr:clientData/>
  </xdr:twoCellAnchor>
  <xdr:twoCellAnchor>
    <xdr:from>
      <xdr:col>3</xdr:col>
      <xdr:colOff>257175</xdr:colOff>
      <xdr:row>1</xdr:row>
      <xdr:rowOff>152400</xdr:rowOff>
    </xdr:from>
    <xdr:to>
      <xdr:col>10</xdr:col>
      <xdr:colOff>533400</xdr:colOff>
      <xdr:row>34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E79B57C-6BE7-4426-A5E5-BF31F0A95625}"/>
            </a:ext>
          </a:extLst>
        </xdr:cNvPr>
        <xdr:cNvCxnSpPr/>
      </xdr:nvCxnSpPr>
      <xdr:spPr>
        <a:xfrm>
          <a:off x="2085975" y="914400"/>
          <a:ext cx="5210175" cy="6172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1</xdr:row>
      <xdr:rowOff>180975</xdr:rowOff>
    </xdr:from>
    <xdr:to>
      <xdr:col>7</xdr:col>
      <xdr:colOff>9525</xdr:colOff>
      <xdr:row>4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8B808D8-9D5A-412E-858A-73F1842EE23D}"/>
            </a:ext>
          </a:extLst>
        </xdr:cNvPr>
        <xdr:cNvCxnSpPr/>
      </xdr:nvCxnSpPr>
      <xdr:spPr>
        <a:xfrm>
          <a:off x="419100" y="942975"/>
          <a:ext cx="4524375" cy="561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952500</xdr:colOff>
      <xdr:row>1</xdr:row>
      <xdr:rowOff>161925</xdr:rowOff>
    </xdr:from>
    <xdr:to>
      <xdr:col>10</xdr:col>
      <xdr:colOff>447675</xdr:colOff>
      <xdr:row>5</xdr:row>
      <xdr:rowOff>180975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375DD13-EC27-4628-8A9D-A2F514E32AF4}"/>
            </a:ext>
          </a:extLst>
        </xdr:cNvPr>
        <xdr:cNvCxnSpPr/>
      </xdr:nvCxnSpPr>
      <xdr:spPr>
        <a:xfrm>
          <a:off x="3457575" y="923925"/>
          <a:ext cx="3752850" cy="781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3</xdr:row>
      <xdr:rowOff>57150</xdr:rowOff>
    </xdr:from>
    <xdr:to>
      <xdr:col>16</xdr:col>
      <xdr:colOff>190500</xdr:colOff>
      <xdr:row>13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42837B5-880D-4091-B6CA-993647C6C20C}"/>
            </a:ext>
          </a:extLst>
        </xdr:cNvPr>
        <xdr:cNvCxnSpPr/>
      </xdr:nvCxnSpPr>
      <xdr:spPr>
        <a:xfrm flipH="1">
          <a:off x="1609725" y="1200150"/>
          <a:ext cx="9001125" cy="1981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200026</xdr:colOff>
      <xdr:row>2</xdr:row>
      <xdr:rowOff>19050</xdr:rowOff>
    </xdr:from>
    <xdr:to>
      <xdr:col>11</xdr:col>
      <xdr:colOff>209550</xdr:colOff>
      <xdr:row>32</xdr:row>
      <xdr:rowOff>171450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6ACFA1C-D140-4102-9FF0-86AE04A2BB7E}"/>
            </a:ext>
          </a:extLst>
        </xdr:cNvPr>
        <xdr:cNvCxnSpPr/>
      </xdr:nvCxnSpPr>
      <xdr:spPr>
        <a:xfrm>
          <a:off x="7572376" y="971550"/>
          <a:ext cx="9524" cy="5867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95251</xdr:colOff>
      <xdr:row>2</xdr:row>
      <xdr:rowOff>123825</xdr:rowOff>
    </xdr:from>
    <xdr:to>
      <xdr:col>19</xdr:col>
      <xdr:colOff>85725</xdr:colOff>
      <xdr:row>20</xdr:row>
      <xdr:rowOff>28575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D5C53EC-3125-4C86-8083-05A69A4DAD1D}"/>
            </a:ext>
          </a:extLst>
        </xdr:cNvPr>
        <xdr:cNvCxnSpPr/>
      </xdr:nvCxnSpPr>
      <xdr:spPr>
        <a:xfrm flipH="1">
          <a:off x="4419601" y="1076325"/>
          <a:ext cx="7915274" cy="3333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</xdr:row>
      <xdr:rowOff>9525</xdr:rowOff>
    </xdr:from>
    <xdr:to>
      <xdr:col>28</xdr:col>
      <xdr:colOff>209551</xdr:colOff>
      <xdr:row>13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63E3F1B-AA74-4CC4-AB3F-7B85E1A73900}"/>
            </a:ext>
          </a:extLst>
        </xdr:cNvPr>
        <xdr:cNvCxnSpPr/>
      </xdr:nvCxnSpPr>
      <xdr:spPr>
        <a:xfrm flipH="1">
          <a:off x="7143750" y="962025"/>
          <a:ext cx="10801351" cy="21812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390526</xdr:colOff>
      <xdr:row>3</xdr:row>
      <xdr:rowOff>28575</xdr:rowOff>
    </xdr:from>
    <xdr:to>
      <xdr:col>31</xdr:col>
      <xdr:colOff>66675</xdr:colOff>
      <xdr:row>13</xdr:row>
      <xdr:rowOff>123825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8B23CE4-F919-4D8A-B422-5567E0054355}"/>
            </a:ext>
          </a:extLst>
        </xdr:cNvPr>
        <xdr:cNvCxnSpPr/>
      </xdr:nvCxnSpPr>
      <xdr:spPr>
        <a:xfrm flipH="1">
          <a:off x="7762876" y="1171575"/>
          <a:ext cx="11868149" cy="2000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581025</xdr:colOff>
      <xdr:row>4</xdr:row>
      <xdr:rowOff>76200</xdr:rowOff>
    </xdr:from>
    <xdr:to>
      <xdr:col>39</xdr:col>
      <xdr:colOff>219076</xdr:colOff>
      <xdr:row>23</xdr:row>
      <xdr:rowOff>114300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DD4B0A2-D9B6-4D52-B011-DF4EC327A3F3}"/>
            </a:ext>
          </a:extLst>
        </xdr:cNvPr>
        <xdr:cNvCxnSpPr/>
      </xdr:nvCxnSpPr>
      <xdr:spPr>
        <a:xfrm flipH="1">
          <a:off x="2409825" y="1409700"/>
          <a:ext cx="22250401" cy="3657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12</xdr:row>
      <xdr:rowOff>104775</xdr:rowOff>
    </xdr:from>
    <xdr:to>
      <xdr:col>7</xdr:col>
      <xdr:colOff>313469</xdr:colOff>
      <xdr:row>40</xdr:row>
      <xdr:rowOff>180299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CC6E0-A059-4F29-B6E1-87456BCF7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962275"/>
          <a:ext cx="6847619" cy="540952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200025</xdr:colOff>
      <xdr:row>1</xdr:row>
      <xdr:rowOff>85725</xdr:rowOff>
    </xdr:from>
    <xdr:to>
      <xdr:col>5</xdr:col>
      <xdr:colOff>161925</xdr:colOff>
      <xdr:row>14</xdr:row>
      <xdr:rowOff>57150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B6A038F-7F4C-48E0-B0CA-970533C2D162}"/>
            </a:ext>
          </a:extLst>
        </xdr:cNvPr>
        <xdr:cNvCxnSpPr/>
      </xdr:nvCxnSpPr>
      <xdr:spPr>
        <a:xfrm>
          <a:off x="200025" y="847725"/>
          <a:ext cx="4400550" cy="2447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1</xdr:row>
      <xdr:rowOff>180975</xdr:rowOff>
    </xdr:from>
    <xdr:to>
      <xdr:col>6</xdr:col>
      <xdr:colOff>800100</xdr:colOff>
      <xdr:row>39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8390FE1-FB32-4B59-91EA-E79BC83E46A5}"/>
            </a:ext>
          </a:extLst>
        </xdr:cNvPr>
        <xdr:cNvCxnSpPr/>
      </xdr:nvCxnSpPr>
      <xdr:spPr>
        <a:xfrm>
          <a:off x="2809875" y="942975"/>
          <a:ext cx="3686175" cy="7200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1</xdr:row>
      <xdr:rowOff>171450</xdr:rowOff>
    </xdr:from>
    <xdr:to>
      <xdr:col>6</xdr:col>
      <xdr:colOff>781050</xdr:colOff>
      <xdr:row>14</xdr:row>
      <xdr:rowOff>123825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882FC79-113B-402E-86E8-E02ACF074911}"/>
            </a:ext>
          </a:extLst>
        </xdr:cNvPr>
        <xdr:cNvCxnSpPr/>
      </xdr:nvCxnSpPr>
      <xdr:spPr>
        <a:xfrm>
          <a:off x="3686175" y="933450"/>
          <a:ext cx="2790825" cy="2428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1</xdr:row>
      <xdr:rowOff>57150</xdr:rowOff>
    </xdr:from>
    <xdr:to>
      <xdr:col>11</xdr:col>
      <xdr:colOff>781051</xdr:colOff>
      <xdr:row>38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EB80FE9-0F1F-4EFF-BAAF-F2A85D0664E9}"/>
            </a:ext>
          </a:extLst>
        </xdr:cNvPr>
        <xdr:cNvCxnSpPr/>
      </xdr:nvCxnSpPr>
      <xdr:spPr>
        <a:xfrm flipH="1">
          <a:off x="6772275" y="819150"/>
          <a:ext cx="4686301" cy="70961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666751</xdr:colOff>
      <xdr:row>1</xdr:row>
      <xdr:rowOff>123825</xdr:rowOff>
    </xdr:from>
    <xdr:to>
      <xdr:col>28</xdr:col>
      <xdr:colOff>733425</xdr:colOff>
      <xdr:row>20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67B1F40-6960-4B80-BF2B-3536F50693A9}"/>
            </a:ext>
          </a:extLst>
        </xdr:cNvPr>
        <xdr:cNvCxnSpPr/>
      </xdr:nvCxnSpPr>
      <xdr:spPr>
        <a:xfrm flipH="1">
          <a:off x="6604001" y="885825"/>
          <a:ext cx="21497924" cy="35274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200025</xdr:colOff>
      <xdr:row>1</xdr:row>
      <xdr:rowOff>180975</xdr:rowOff>
    </xdr:from>
    <xdr:to>
      <xdr:col>31</xdr:col>
      <xdr:colOff>428626</xdr:colOff>
      <xdr:row>20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400AF6A-107E-459A-8AF5-3B941F615F3F}"/>
            </a:ext>
          </a:extLst>
        </xdr:cNvPr>
        <xdr:cNvCxnSpPr/>
      </xdr:nvCxnSpPr>
      <xdr:spPr>
        <a:xfrm flipH="1">
          <a:off x="6915150" y="942975"/>
          <a:ext cx="21717001" cy="3619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3</xdr:row>
      <xdr:rowOff>161925</xdr:rowOff>
    </xdr:from>
    <xdr:to>
      <xdr:col>16</xdr:col>
      <xdr:colOff>495300</xdr:colOff>
      <xdr:row>20</xdr:row>
      <xdr:rowOff>161925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3682EB6-63EF-4F93-80B8-B69D20D624A0}"/>
            </a:ext>
          </a:extLst>
        </xdr:cNvPr>
        <xdr:cNvCxnSpPr/>
      </xdr:nvCxnSpPr>
      <xdr:spPr>
        <a:xfrm flipH="1">
          <a:off x="1438275" y="1304925"/>
          <a:ext cx="15335250" cy="3238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752475</xdr:colOff>
      <xdr:row>4</xdr:row>
      <xdr:rowOff>19050</xdr:rowOff>
    </xdr:from>
    <xdr:to>
      <xdr:col>19</xdr:col>
      <xdr:colOff>66675</xdr:colOff>
      <xdr:row>26</xdr:row>
      <xdr:rowOff>142875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233CEA0-61E1-48A5-8AF4-2A047E1CE289}"/>
            </a:ext>
          </a:extLst>
        </xdr:cNvPr>
        <xdr:cNvCxnSpPr/>
      </xdr:nvCxnSpPr>
      <xdr:spPr>
        <a:xfrm flipH="1">
          <a:off x="3981450" y="1352550"/>
          <a:ext cx="15678150" cy="4314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6</xdr:row>
      <xdr:rowOff>38100</xdr:rowOff>
    </xdr:from>
    <xdr:to>
      <xdr:col>39</xdr:col>
      <xdr:colOff>342902</xdr:colOff>
      <xdr:row>27</xdr:row>
      <xdr:rowOff>47625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95F525F-AD66-470F-8487-C5B746455DBB}"/>
            </a:ext>
          </a:extLst>
        </xdr:cNvPr>
        <xdr:cNvCxnSpPr/>
      </xdr:nvCxnSpPr>
      <xdr:spPr>
        <a:xfrm flipH="1">
          <a:off x="2190750" y="1752600"/>
          <a:ext cx="34290002" cy="40100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11</xdr:col>
      <xdr:colOff>522971</xdr:colOff>
      <xdr:row>36</xdr:row>
      <xdr:rowOff>151690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1B77A-ACD5-44B6-A548-64E527B0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7228571" cy="567619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66675</xdr:colOff>
      <xdr:row>2</xdr:row>
      <xdr:rowOff>0</xdr:rowOff>
    </xdr:from>
    <xdr:to>
      <xdr:col>5</xdr:col>
      <xdr:colOff>600075</xdr:colOff>
      <xdr:row>9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553F83C-6663-421C-9E32-D7C45357B89E}"/>
            </a:ext>
          </a:extLst>
        </xdr:cNvPr>
        <xdr:cNvCxnSpPr/>
      </xdr:nvCxnSpPr>
      <xdr:spPr>
        <a:xfrm>
          <a:off x="66675" y="952500"/>
          <a:ext cx="3581400" cy="14382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1</xdr:row>
      <xdr:rowOff>95250</xdr:rowOff>
    </xdr:from>
    <xdr:to>
      <xdr:col>2</xdr:col>
      <xdr:colOff>323850</xdr:colOff>
      <xdr:row>14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91F94CD-A99E-45B1-AEB6-B5439A5FF737}"/>
            </a:ext>
          </a:extLst>
        </xdr:cNvPr>
        <xdr:cNvCxnSpPr/>
      </xdr:nvCxnSpPr>
      <xdr:spPr>
        <a:xfrm flipH="1">
          <a:off x="676275" y="857250"/>
          <a:ext cx="866775" cy="2466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1</xdr:row>
      <xdr:rowOff>180975</xdr:rowOff>
    </xdr:from>
    <xdr:to>
      <xdr:col>6</xdr:col>
      <xdr:colOff>257175</xdr:colOff>
      <xdr:row>14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D648E4B-8719-40E1-BC94-6D2019B7F690}"/>
            </a:ext>
          </a:extLst>
        </xdr:cNvPr>
        <xdr:cNvCxnSpPr/>
      </xdr:nvCxnSpPr>
      <xdr:spPr>
        <a:xfrm>
          <a:off x="2752725" y="942975"/>
          <a:ext cx="1162050" cy="2447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1</xdr:row>
      <xdr:rowOff>142875</xdr:rowOff>
    </xdr:from>
    <xdr:to>
      <xdr:col>10</xdr:col>
      <xdr:colOff>400050</xdr:colOff>
      <xdr:row>33</xdr:row>
      <xdr:rowOff>171450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0362D65-182A-4219-80D1-A1D360EAE254}"/>
            </a:ext>
          </a:extLst>
        </xdr:cNvPr>
        <xdr:cNvCxnSpPr/>
      </xdr:nvCxnSpPr>
      <xdr:spPr>
        <a:xfrm>
          <a:off x="6429375" y="904875"/>
          <a:ext cx="66675" cy="61245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2</xdr:row>
      <xdr:rowOff>47625</xdr:rowOff>
    </xdr:from>
    <xdr:to>
      <xdr:col>10</xdr:col>
      <xdr:colOff>219075</xdr:colOff>
      <xdr:row>35</xdr:row>
      <xdr:rowOff>123825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5CBFADD-71E5-4CD9-8E06-6C88B978B70E}"/>
            </a:ext>
          </a:extLst>
        </xdr:cNvPr>
        <xdr:cNvCxnSpPr/>
      </xdr:nvCxnSpPr>
      <xdr:spPr>
        <a:xfrm>
          <a:off x="2162175" y="1000125"/>
          <a:ext cx="4152900" cy="6362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104775</xdr:colOff>
      <xdr:row>2</xdr:row>
      <xdr:rowOff>19050</xdr:rowOff>
    </xdr:from>
    <xdr:to>
      <xdr:col>16</xdr:col>
      <xdr:colOff>200025</xdr:colOff>
      <xdr:row>8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0F2D676-50B0-49B0-B9AB-9AC690AAD37F}"/>
            </a:ext>
          </a:extLst>
        </xdr:cNvPr>
        <xdr:cNvCxnSpPr/>
      </xdr:nvCxnSpPr>
      <xdr:spPr>
        <a:xfrm flipH="1">
          <a:off x="5591175" y="971550"/>
          <a:ext cx="4362450" cy="1123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</xdr:row>
      <xdr:rowOff>123825</xdr:rowOff>
    </xdr:from>
    <xdr:to>
      <xdr:col>31</xdr:col>
      <xdr:colOff>123825</xdr:colOff>
      <xdr:row>17</xdr:row>
      <xdr:rowOff>180975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C96319F-4633-4E2A-AD88-559DA2420268}"/>
            </a:ext>
          </a:extLst>
        </xdr:cNvPr>
        <xdr:cNvCxnSpPr/>
      </xdr:nvCxnSpPr>
      <xdr:spPr>
        <a:xfrm flipH="1">
          <a:off x="6800850" y="1076325"/>
          <a:ext cx="12220575" cy="2914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28575</xdr:rowOff>
    </xdr:from>
    <xdr:to>
      <xdr:col>8</xdr:col>
      <xdr:colOff>245122</xdr:colOff>
      <xdr:row>32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4FC91-BCF9-431B-964B-EE53C134B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276350"/>
          <a:ext cx="8141346" cy="516255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</xdr:col>
      <xdr:colOff>342900</xdr:colOff>
      <xdr:row>2</xdr:row>
      <xdr:rowOff>38100</xdr:rowOff>
    </xdr:from>
    <xdr:to>
      <xdr:col>4</xdr:col>
      <xdr:colOff>752475</xdr:colOff>
      <xdr:row>5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8622117-0B5F-421C-8C7A-28B7862A0096}"/>
            </a:ext>
          </a:extLst>
        </xdr:cNvPr>
        <xdr:cNvCxnSpPr/>
      </xdr:nvCxnSpPr>
      <xdr:spPr>
        <a:xfrm>
          <a:off x="1866900" y="1266825"/>
          <a:ext cx="2362200" cy="3524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647701</xdr:colOff>
      <xdr:row>1</xdr:row>
      <xdr:rowOff>419100</xdr:rowOff>
    </xdr:from>
    <xdr:to>
      <xdr:col>5</xdr:col>
      <xdr:colOff>752475</xdr:colOff>
      <xdr:row>24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5CB6E93-4C54-4C10-AD4B-912CA6C2C971}"/>
            </a:ext>
          </a:extLst>
        </xdr:cNvPr>
        <xdr:cNvCxnSpPr/>
      </xdr:nvCxnSpPr>
      <xdr:spPr>
        <a:xfrm flipH="1">
          <a:off x="647701" y="1181100"/>
          <a:ext cx="4791074" cy="42195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228601</xdr:colOff>
      <xdr:row>1</xdr:row>
      <xdr:rowOff>428625</xdr:rowOff>
    </xdr:from>
    <xdr:to>
      <xdr:col>39</xdr:col>
      <xdr:colOff>28575</xdr:colOff>
      <xdr:row>10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14F9CB0-074C-4A4A-816F-5BEC5CA5F74E}"/>
            </a:ext>
          </a:extLst>
        </xdr:cNvPr>
        <xdr:cNvCxnSpPr/>
      </xdr:nvCxnSpPr>
      <xdr:spPr>
        <a:xfrm flipH="1">
          <a:off x="6172201" y="1190625"/>
          <a:ext cx="31823024" cy="14668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1028700</xdr:colOff>
      <xdr:row>2</xdr:row>
      <xdr:rowOff>19050</xdr:rowOff>
    </xdr:from>
    <xdr:to>
      <xdr:col>7</xdr:col>
      <xdr:colOff>333375</xdr:colOff>
      <xdr:row>31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1045040-9209-47F2-9B62-7A95B769342C}"/>
            </a:ext>
          </a:extLst>
        </xdr:cNvPr>
        <xdr:cNvCxnSpPr/>
      </xdr:nvCxnSpPr>
      <xdr:spPr>
        <a:xfrm>
          <a:off x="3314700" y="1247775"/>
          <a:ext cx="3981450" cy="54292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895350</xdr:colOff>
      <xdr:row>1</xdr:row>
      <xdr:rowOff>428625</xdr:rowOff>
    </xdr:from>
    <xdr:to>
      <xdr:col>11</xdr:col>
      <xdr:colOff>1057274</xdr:colOff>
      <xdr:row>29</xdr:row>
      <xdr:rowOff>66675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14B3180-3638-403C-AAF2-96A35FB69583}"/>
            </a:ext>
          </a:extLst>
        </xdr:cNvPr>
        <xdr:cNvCxnSpPr/>
      </xdr:nvCxnSpPr>
      <xdr:spPr>
        <a:xfrm flipH="1">
          <a:off x="7858125" y="1190625"/>
          <a:ext cx="4124324" cy="50577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1133475</xdr:colOff>
      <xdr:row>2</xdr:row>
      <xdr:rowOff>76200</xdr:rowOff>
    </xdr:from>
    <xdr:to>
      <xdr:col>13</xdr:col>
      <xdr:colOff>171451</xdr:colOff>
      <xdr:row>15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6492210-158D-4718-A58D-17CDB36E05BA}"/>
            </a:ext>
          </a:extLst>
        </xdr:cNvPr>
        <xdr:cNvCxnSpPr/>
      </xdr:nvCxnSpPr>
      <xdr:spPr>
        <a:xfrm flipH="1">
          <a:off x="3419475" y="1304925"/>
          <a:ext cx="10239376" cy="23145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2</xdr:row>
      <xdr:rowOff>180975</xdr:rowOff>
    </xdr:from>
    <xdr:to>
      <xdr:col>14</xdr:col>
      <xdr:colOff>47626</xdr:colOff>
      <xdr:row>25</xdr:row>
      <xdr:rowOff>57150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4ECA519-1441-45B6-B98C-63A57BBBA2E2}"/>
            </a:ext>
          </a:extLst>
        </xdr:cNvPr>
        <xdr:cNvCxnSpPr/>
      </xdr:nvCxnSpPr>
      <xdr:spPr>
        <a:xfrm flipH="1">
          <a:off x="5105400" y="1409700"/>
          <a:ext cx="9563101" cy="40671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2</xdr:row>
      <xdr:rowOff>171450</xdr:rowOff>
    </xdr:from>
    <xdr:to>
      <xdr:col>15</xdr:col>
      <xdr:colOff>285752</xdr:colOff>
      <xdr:row>25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6DCC7DB-EC62-444A-BEBE-BCC2CED8F81C}"/>
            </a:ext>
          </a:extLst>
        </xdr:cNvPr>
        <xdr:cNvCxnSpPr/>
      </xdr:nvCxnSpPr>
      <xdr:spPr>
        <a:xfrm flipH="1">
          <a:off x="1619250" y="1400175"/>
          <a:ext cx="14401802" cy="40576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2</xdr:row>
      <xdr:rowOff>171450</xdr:rowOff>
    </xdr:from>
    <xdr:to>
      <xdr:col>20</xdr:col>
      <xdr:colOff>38102</xdr:colOff>
      <xdr:row>26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D030C43-22F7-4B52-BC37-265535B89E1D}"/>
            </a:ext>
          </a:extLst>
        </xdr:cNvPr>
        <xdr:cNvCxnSpPr/>
      </xdr:nvCxnSpPr>
      <xdr:spPr>
        <a:xfrm flipH="1">
          <a:off x="1905000" y="1400175"/>
          <a:ext cx="19754852" cy="42100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4</xdr:row>
      <xdr:rowOff>38100</xdr:rowOff>
    </xdr:from>
    <xdr:to>
      <xdr:col>21</xdr:col>
      <xdr:colOff>285750</xdr:colOff>
      <xdr:row>26</xdr:row>
      <xdr:rowOff>9525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FE8BF6A-ED80-4353-B354-342F2B0DC506}"/>
            </a:ext>
          </a:extLst>
        </xdr:cNvPr>
        <xdr:cNvCxnSpPr/>
      </xdr:nvCxnSpPr>
      <xdr:spPr>
        <a:xfrm flipH="1">
          <a:off x="1038225" y="1457325"/>
          <a:ext cx="21364575" cy="41624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895350</xdr:colOff>
      <xdr:row>4</xdr:row>
      <xdr:rowOff>9525</xdr:rowOff>
    </xdr:from>
    <xdr:to>
      <xdr:col>23</xdr:col>
      <xdr:colOff>276225</xdr:colOff>
      <xdr:row>25</xdr:row>
      <xdr:rowOff>95250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71AAF3C-F0DB-4FCD-BB12-8C65982D24BB}"/>
            </a:ext>
          </a:extLst>
        </xdr:cNvPr>
        <xdr:cNvCxnSpPr/>
      </xdr:nvCxnSpPr>
      <xdr:spPr>
        <a:xfrm flipH="1">
          <a:off x="6838950" y="1428750"/>
          <a:ext cx="17202150" cy="4086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488950</xdr:colOff>
      <xdr:row>4</xdr:row>
      <xdr:rowOff>82550</xdr:rowOff>
    </xdr:from>
    <xdr:to>
      <xdr:col>22</xdr:col>
      <xdr:colOff>57150</xdr:colOff>
      <xdr:row>9</xdr:row>
      <xdr:rowOff>44450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D4999EC-45A6-4EE4-B4A8-86E26639B908}"/>
            </a:ext>
          </a:extLst>
        </xdr:cNvPr>
        <xdr:cNvCxnSpPr/>
      </xdr:nvCxnSpPr>
      <xdr:spPr>
        <a:xfrm>
          <a:off x="23653750" y="1492250"/>
          <a:ext cx="438150" cy="8826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1212850</xdr:colOff>
      <xdr:row>11</xdr:row>
      <xdr:rowOff>165054</xdr:rowOff>
    </xdr:from>
    <xdr:to>
      <xdr:col>27</xdr:col>
      <xdr:colOff>662419</xdr:colOff>
      <xdr:row>29</xdr:row>
      <xdr:rowOff>113779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F20FDC-8BBA-4D8F-88E9-85D72D8A7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04250" y="2876504"/>
          <a:ext cx="7234669" cy="32634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11</xdr:col>
      <xdr:colOff>170583</xdr:colOff>
      <xdr:row>37</xdr:row>
      <xdr:rowOff>161238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5F253-8F15-4C8B-9E27-41F6D6BC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6933333" cy="54952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371475</xdr:colOff>
      <xdr:row>1</xdr:row>
      <xdr:rowOff>152400</xdr:rowOff>
    </xdr:from>
    <xdr:to>
      <xdr:col>6</xdr:col>
      <xdr:colOff>533400</xdr:colOff>
      <xdr:row>10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928C241-643A-4E63-87A2-C27B764DBEE9}"/>
            </a:ext>
          </a:extLst>
        </xdr:cNvPr>
        <xdr:cNvCxnSpPr/>
      </xdr:nvCxnSpPr>
      <xdr:spPr>
        <a:xfrm>
          <a:off x="371475" y="914400"/>
          <a:ext cx="3876675" cy="1704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247651</xdr:colOff>
      <xdr:row>2</xdr:row>
      <xdr:rowOff>66675</xdr:rowOff>
    </xdr:from>
    <xdr:to>
      <xdr:col>16</xdr:col>
      <xdr:colOff>276225</xdr:colOff>
      <xdr:row>18</xdr:row>
      <xdr:rowOff>9525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DE9249E-23E0-4F68-824C-2AC188C70D99}"/>
            </a:ext>
          </a:extLst>
        </xdr:cNvPr>
        <xdr:cNvCxnSpPr/>
      </xdr:nvCxnSpPr>
      <xdr:spPr>
        <a:xfrm flipH="1">
          <a:off x="857251" y="1019175"/>
          <a:ext cx="9229724" cy="29908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2</xdr:row>
      <xdr:rowOff>19050</xdr:rowOff>
    </xdr:from>
    <xdr:to>
      <xdr:col>10</xdr:col>
      <xdr:colOff>38100</xdr:colOff>
      <xdr:row>11</xdr:row>
      <xdr:rowOff>104775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F7F6AE9-3B5E-4560-B776-7BBB1E354BB7}"/>
            </a:ext>
          </a:extLst>
        </xdr:cNvPr>
        <xdr:cNvCxnSpPr/>
      </xdr:nvCxnSpPr>
      <xdr:spPr>
        <a:xfrm>
          <a:off x="2819400" y="971550"/>
          <a:ext cx="3371850" cy="18002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2</xdr:row>
      <xdr:rowOff>28575</xdr:rowOff>
    </xdr:from>
    <xdr:to>
      <xdr:col>10</xdr:col>
      <xdr:colOff>95250</xdr:colOff>
      <xdr:row>10</xdr:row>
      <xdr:rowOff>76200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4FEFCA3-DDEE-441A-8327-64542935131F}"/>
            </a:ext>
          </a:extLst>
        </xdr:cNvPr>
        <xdr:cNvCxnSpPr/>
      </xdr:nvCxnSpPr>
      <xdr:spPr>
        <a:xfrm>
          <a:off x="1485900" y="981075"/>
          <a:ext cx="4762500" cy="1571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</xdr:row>
      <xdr:rowOff>142875</xdr:rowOff>
    </xdr:from>
    <xdr:to>
      <xdr:col>18</xdr:col>
      <xdr:colOff>190500</xdr:colOff>
      <xdr:row>18</xdr:row>
      <xdr:rowOff>123825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ADAA6AF-3E2C-4C58-B40A-C7E8E60D034D}"/>
            </a:ext>
          </a:extLst>
        </xdr:cNvPr>
        <xdr:cNvCxnSpPr/>
      </xdr:nvCxnSpPr>
      <xdr:spPr>
        <a:xfrm flipH="1">
          <a:off x="2619375" y="1095375"/>
          <a:ext cx="8601075" cy="3028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</xdr:row>
      <xdr:rowOff>0</xdr:rowOff>
    </xdr:from>
    <xdr:to>
      <xdr:col>10</xdr:col>
      <xdr:colOff>28575</xdr:colOff>
      <xdr:row>36</xdr:row>
      <xdr:rowOff>104775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6547106-FB32-4AFA-94BE-E505FF8D4A12}"/>
            </a:ext>
          </a:extLst>
        </xdr:cNvPr>
        <xdr:cNvCxnSpPr/>
      </xdr:nvCxnSpPr>
      <xdr:spPr>
        <a:xfrm>
          <a:off x="2057400" y="952500"/>
          <a:ext cx="4124325" cy="65817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</xdr:row>
      <xdr:rowOff>66675</xdr:rowOff>
    </xdr:from>
    <xdr:to>
      <xdr:col>14</xdr:col>
      <xdr:colOff>295275</xdr:colOff>
      <xdr:row>18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7DA3358-A276-4ACE-B895-AD7BB1788C25}"/>
            </a:ext>
          </a:extLst>
        </xdr:cNvPr>
        <xdr:cNvCxnSpPr/>
      </xdr:nvCxnSpPr>
      <xdr:spPr>
        <a:xfrm flipH="1">
          <a:off x="1247775" y="1019175"/>
          <a:ext cx="7639050" cy="31337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</xdr:row>
      <xdr:rowOff>66675</xdr:rowOff>
    </xdr:from>
    <xdr:to>
      <xdr:col>31</xdr:col>
      <xdr:colOff>76200</xdr:colOff>
      <xdr:row>18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2D9BB2E-1DEE-4058-BFFB-7311CCA86D0A}"/>
            </a:ext>
          </a:extLst>
        </xdr:cNvPr>
        <xdr:cNvCxnSpPr/>
      </xdr:nvCxnSpPr>
      <xdr:spPr>
        <a:xfrm flipH="1">
          <a:off x="6762750" y="1019175"/>
          <a:ext cx="12268200" cy="3095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2</xdr:row>
      <xdr:rowOff>180975</xdr:rowOff>
    </xdr:from>
    <xdr:to>
      <xdr:col>32</xdr:col>
      <xdr:colOff>381000</xdr:colOff>
      <xdr:row>18</xdr:row>
      <xdr:rowOff>171450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F6DC267-1232-4C64-9EDE-B82EDB55ECFE}"/>
            </a:ext>
          </a:extLst>
        </xdr:cNvPr>
        <xdr:cNvCxnSpPr/>
      </xdr:nvCxnSpPr>
      <xdr:spPr>
        <a:xfrm flipH="1">
          <a:off x="742950" y="1133475"/>
          <a:ext cx="19259550" cy="30384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565059</xdr:colOff>
      <xdr:row>33</xdr:row>
      <xdr:rowOff>46976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9C062-12B7-4C34-8205-65E1F22D6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04762" cy="51904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323850</xdr:colOff>
      <xdr:row>2</xdr:row>
      <xdr:rowOff>9525</xdr:rowOff>
    </xdr:from>
    <xdr:to>
      <xdr:col>4</xdr:col>
      <xdr:colOff>933450</xdr:colOff>
      <xdr:row>7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C419122-5196-4C48-A94D-ABEEE928AC41}"/>
            </a:ext>
          </a:extLst>
        </xdr:cNvPr>
        <xdr:cNvCxnSpPr/>
      </xdr:nvCxnSpPr>
      <xdr:spPr>
        <a:xfrm>
          <a:off x="323850" y="962025"/>
          <a:ext cx="3048000" cy="1076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2</xdr:row>
      <xdr:rowOff>19050</xdr:rowOff>
    </xdr:from>
    <xdr:to>
      <xdr:col>8</xdr:col>
      <xdr:colOff>571500</xdr:colOff>
      <xdr:row>32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5E4284F-80A7-4A4E-86FB-AB99C539D4F3}"/>
            </a:ext>
          </a:extLst>
        </xdr:cNvPr>
        <xdr:cNvCxnSpPr/>
      </xdr:nvCxnSpPr>
      <xdr:spPr>
        <a:xfrm>
          <a:off x="2095500" y="971550"/>
          <a:ext cx="3943350" cy="58007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2</xdr:row>
      <xdr:rowOff>28575</xdr:rowOff>
    </xdr:from>
    <xdr:to>
      <xdr:col>2</xdr:col>
      <xdr:colOff>381000</xdr:colOff>
      <xdr:row>12</xdr:row>
      <xdr:rowOff>47625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2C22428-30D6-4D49-AAF9-F5E09158FC71}"/>
            </a:ext>
          </a:extLst>
        </xdr:cNvPr>
        <xdr:cNvCxnSpPr/>
      </xdr:nvCxnSpPr>
      <xdr:spPr>
        <a:xfrm flipH="1">
          <a:off x="742950" y="981075"/>
          <a:ext cx="857250" cy="1924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923925</xdr:colOff>
      <xdr:row>1</xdr:row>
      <xdr:rowOff>152400</xdr:rowOff>
    </xdr:from>
    <xdr:to>
      <xdr:col>5</xdr:col>
      <xdr:colOff>38100</xdr:colOff>
      <xdr:row>12</xdr:row>
      <xdr:rowOff>47625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1D9FAD8-210D-470F-96A5-3E7B8E26B353}"/>
            </a:ext>
          </a:extLst>
        </xdr:cNvPr>
        <xdr:cNvCxnSpPr/>
      </xdr:nvCxnSpPr>
      <xdr:spPr>
        <a:xfrm>
          <a:off x="3362325" y="914400"/>
          <a:ext cx="314325" cy="19907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276226</xdr:colOff>
      <xdr:row>2</xdr:row>
      <xdr:rowOff>19050</xdr:rowOff>
    </xdr:from>
    <xdr:to>
      <xdr:col>10</xdr:col>
      <xdr:colOff>361950</xdr:colOff>
      <xdr:row>30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1FF7C81-94B4-47A9-A6E9-15FCB8CACB60}"/>
            </a:ext>
          </a:extLst>
        </xdr:cNvPr>
        <xdr:cNvCxnSpPr/>
      </xdr:nvCxnSpPr>
      <xdr:spPr>
        <a:xfrm flipH="1">
          <a:off x="6353176" y="971550"/>
          <a:ext cx="695324" cy="5495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</xdr:row>
      <xdr:rowOff>0</xdr:rowOff>
    </xdr:from>
    <xdr:to>
      <xdr:col>11</xdr:col>
      <xdr:colOff>504826</xdr:colOff>
      <xdr:row>31</xdr:row>
      <xdr:rowOff>104775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D18C1D0-4227-4C8F-A5E9-452D6887EF48}"/>
            </a:ext>
          </a:extLst>
        </xdr:cNvPr>
        <xdr:cNvCxnSpPr/>
      </xdr:nvCxnSpPr>
      <xdr:spPr>
        <a:xfrm flipH="1">
          <a:off x="6115050" y="952500"/>
          <a:ext cx="1685926" cy="56292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</xdr:row>
      <xdr:rowOff>171450</xdr:rowOff>
    </xdr:from>
    <xdr:to>
      <xdr:col>16</xdr:col>
      <xdr:colOff>314325</xdr:colOff>
      <xdr:row>15</xdr:row>
      <xdr:rowOff>47625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81ED7FD-6872-467B-B5F3-24C3C4839989}"/>
            </a:ext>
          </a:extLst>
        </xdr:cNvPr>
        <xdr:cNvCxnSpPr/>
      </xdr:nvCxnSpPr>
      <xdr:spPr>
        <a:xfrm flipH="1">
          <a:off x="1952625" y="1123950"/>
          <a:ext cx="8705850" cy="23526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1</xdr:row>
      <xdr:rowOff>142875</xdr:rowOff>
    </xdr:from>
    <xdr:to>
      <xdr:col>12</xdr:col>
      <xdr:colOff>304800</xdr:colOff>
      <xdr:row>31</xdr:row>
      <xdr:rowOff>161925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4DFCBD2-0F73-4E0E-9B43-1DFD18146470}"/>
            </a:ext>
          </a:extLst>
        </xdr:cNvPr>
        <xdr:cNvCxnSpPr/>
      </xdr:nvCxnSpPr>
      <xdr:spPr>
        <a:xfrm flipH="1">
          <a:off x="6467475" y="904875"/>
          <a:ext cx="1743075" cy="5734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2</xdr:row>
      <xdr:rowOff>76200</xdr:rowOff>
    </xdr:from>
    <xdr:to>
      <xdr:col>14</xdr:col>
      <xdr:colOff>114300</xdr:colOff>
      <xdr:row>15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801F2A3-D6CB-4431-8096-9C4DD34B4354}"/>
            </a:ext>
          </a:extLst>
        </xdr:cNvPr>
        <xdr:cNvCxnSpPr/>
      </xdr:nvCxnSpPr>
      <xdr:spPr>
        <a:xfrm flipH="1">
          <a:off x="476250" y="1028700"/>
          <a:ext cx="8763000" cy="2571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</xdr:row>
      <xdr:rowOff>152400</xdr:rowOff>
    </xdr:from>
    <xdr:to>
      <xdr:col>31</xdr:col>
      <xdr:colOff>285751</xdr:colOff>
      <xdr:row>15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DEAAD60-4FE2-4E34-B7B5-BB80814B264D}"/>
            </a:ext>
          </a:extLst>
        </xdr:cNvPr>
        <xdr:cNvCxnSpPr/>
      </xdr:nvCxnSpPr>
      <xdr:spPr>
        <a:xfrm flipH="1">
          <a:off x="6477000" y="1104900"/>
          <a:ext cx="13296901" cy="2447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15</xdr:col>
      <xdr:colOff>351321</xdr:colOff>
      <xdr:row>35</xdr:row>
      <xdr:rowOff>46929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7A07F-75BF-440A-BBBC-925750D48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498600"/>
          <a:ext cx="8828571" cy="5571429"/>
        </a:xfrm>
        <a:prstGeom prst="rect">
          <a:avLst/>
        </a:prstGeom>
      </xdr:spPr>
    </xdr:pic>
    <xdr:clientData/>
  </xdr:twoCellAnchor>
  <xdr:twoCellAnchor>
    <xdr:from>
      <xdr:col>0</xdr:col>
      <xdr:colOff>355600</xdr:colOff>
      <xdr:row>1</xdr:row>
      <xdr:rowOff>171450</xdr:rowOff>
    </xdr:from>
    <xdr:to>
      <xdr:col>2</xdr:col>
      <xdr:colOff>120650</xdr:colOff>
      <xdr:row>6</xdr:row>
      <xdr:rowOff>101600</xdr:rowOff>
    </xdr:to>
    <xdr:cxnSp macro="">
      <xdr:nvCxnSpPr>
        <xdr:cNvPr id="5" name="Straight Arrow Connector 2">
          <a:extLst>
            <a:ext uri="{FF2B5EF4-FFF2-40B4-BE49-F238E27FC236}">
              <a16:creationId xmlns:a16="http://schemas.microsoft.com/office/drawing/2014/main" id="{DB3DDB50-48DC-43F6-A2FB-2929F584BF8C}"/>
            </a:ext>
          </a:extLst>
        </xdr:cNvPr>
        <xdr:cNvCxnSpPr/>
      </xdr:nvCxnSpPr>
      <xdr:spPr>
        <a:xfrm>
          <a:off x="355600" y="933450"/>
          <a:ext cx="984250" cy="8509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2</xdr:row>
      <xdr:rowOff>0</xdr:rowOff>
    </xdr:from>
    <xdr:to>
      <xdr:col>14</xdr:col>
      <xdr:colOff>203200</xdr:colOff>
      <xdr:row>14</xdr:row>
      <xdr:rowOff>95250</xdr:rowOff>
    </xdr:to>
    <xdr:cxnSp macro="">
      <xdr:nvCxnSpPr>
        <xdr:cNvPr id="8" name="Straight Arrow Connector 5">
          <a:extLst>
            <a:ext uri="{FF2B5EF4-FFF2-40B4-BE49-F238E27FC236}">
              <a16:creationId xmlns:a16="http://schemas.microsoft.com/office/drawing/2014/main" id="{90EF5F78-7C8A-4321-8FFD-48569518DEBD}"/>
            </a:ext>
          </a:extLst>
        </xdr:cNvPr>
        <xdr:cNvCxnSpPr/>
      </xdr:nvCxnSpPr>
      <xdr:spPr>
        <a:xfrm>
          <a:off x="1504950" y="946150"/>
          <a:ext cx="7232650" cy="2305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596900</xdr:colOff>
      <xdr:row>35</xdr:row>
      <xdr:rowOff>69850</xdr:rowOff>
    </xdr:from>
    <xdr:to>
      <xdr:col>15</xdr:col>
      <xdr:colOff>424336</xdr:colOff>
      <xdr:row>43</xdr:row>
      <xdr:rowOff>158555</xdr:rowOff>
    </xdr:to>
    <xdr:pic>
      <xdr:nvPicPr>
        <xdr:cNvPr id="10" name="Picture 8">
          <a:extLst>
            <a:ext uri="{FF2B5EF4-FFF2-40B4-BE49-F238E27FC236}">
              <a16:creationId xmlns:a16="http://schemas.microsoft.com/office/drawing/2014/main" id="{DCF3070C-5E1E-4051-A0AF-E1DF3500A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500" y="7092950"/>
          <a:ext cx="8914286" cy="1561905"/>
        </a:xfrm>
        <a:prstGeom prst="rect">
          <a:avLst/>
        </a:prstGeom>
      </xdr:spPr>
    </xdr:pic>
    <xdr:clientData/>
  </xdr:twoCellAnchor>
  <xdr:twoCellAnchor>
    <xdr:from>
      <xdr:col>3</xdr:col>
      <xdr:colOff>393700</xdr:colOff>
      <xdr:row>1</xdr:row>
      <xdr:rowOff>139700</xdr:rowOff>
    </xdr:from>
    <xdr:to>
      <xdr:col>15</xdr:col>
      <xdr:colOff>546100</xdr:colOff>
      <xdr:row>42</xdr:row>
      <xdr:rowOff>57150</xdr:rowOff>
    </xdr:to>
    <xdr:cxnSp macro="">
      <xdr:nvCxnSpPr>
        <xdr:cNvPr id="17" name="Straight Arrow Connector 9">
          <a:extLst>
            <a:ext uri="{FF2B5EF4-FFF2-40B4-BE49-F238E27FC236}">
              <a16:creationId xmlns:a16="http://schemas.microsoft.com/office/drawing/2014/main" id="{2EE16419-832E-41D9-BF65-F33A6A61210C}"/>
            </a:ext>
          </a:extLst>
        </xdr:cNvPr>
        <xdr:cNvCxnSpPr/>
      </xdr:nvCxnSpPr>
      <xdr:spPr>
        <a:xfrm>
          <a:off x="2222500" y="901700"/>
          <a:ext cx="7467600" cy="7467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450850</xdr:colOff>
      <xdr:row>1</xdr:row>
      <xdr:rowOff>165100</xdr:rowOff>
    </xdr:from>
    <xdr:to>
      <xdr:col>14</xdr:col>
      <xdr:colOff>139700</xdr:colOff>
      <xdr:row>12</xdr:row>
      <xdr:rowOff>139700</xdr:rowOff>
    </xdr:to>
    <xdr:cxnSp macro="">
      <xdr:nvCxnSpPr>
        <xdr:cNvPr id="20" name="Straight Arrow Connector 16">
          <a:extLst>
            <a:ext uri="{FF2B5EF4-FFF2-40B4-BE49-F238E27FC236}">
              <a16:creationId xmlns:a16="http://schemas.microsoft.com/office/drawing/2014/main" id="{290C36BE-4D2D-44A9-8964-E39280051F46}"/>
            </a:ext>
          </a:extLst>
        </xdr:cNvPr>
        <xdr:cNvCxnSpPr/>
      </xdr:nvCxnSpPr>
      <xdr:spPr>
        <a:xfrm>
          <a:off x="2889250" y="927100"/>
          <a:ext cx="5784850" cy="2000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222250</xdr:colOff>
      <xdr:row>1</xdr:row>
      <xdr:rowOff>146050</xdr:rowOff>
    </xdr:from>
    <xdr:to>
      <xdr:col>15</xdr:col>
      <xdr:colOff>393700</xdr:colOff>
      <xdr:row>37</xdr:row>
      <xdr:rowOff>127000</xdr:rowOff>
    </xdr:to>
    <xdr:cxnSp macro="">
      <xdr:nvCxnSpPr>
        <xdr:cNvPr id="25" name="Straight Arrow Connector 19">
          <a:extLst>
            <a:ext uri="{FF2B5EF4-FFF2-40B4-BE49-F238E27FC236}">
              <a16:creationId xmlns:a16="http://schemas.microsoft.com/office/drawing/2014/main" id="{B11033DA-656B-49AC-B6FC-F94805A9FC7A}"/>
            </a:ext>
          </a:extLst>
        </xdr:cNvPr>
        <xdr:cNvCxnSpPr/>
      </xdr:nvCxnSpPr>
      <xdr:spPr>
        <a:xfrm>
          <a:off x="6927850" y="908050"/>
          <a:ext cx="2609850" cy="6610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69850</xdr:colOff>
      <xdr:row>2</xdr:row>
      <xdr:rowOff>0</xdr:rowOff>
    </xdr:from>
    <xdr:to>
      <xdr:col>14</xdr:col>
      <xdr:colOff>368300</xdr:colOff>
      <xdr:row>32</xdr:row>
      <xdr:rowOff>158750</xdr:rowOff>
    </xdr:to>
    <xdr:cxnSp macro="">
      <xdr:nvCxnSpPr>
        <xdr:cNvPr id="29" name="Straight Arrow Connector 24">
          <a:extLst>
            <a:ext uri="{FF2B5EF4-FFF2-40B4-BE49-F238E27FC236}">
              <a16:creationId xmlns:a16="http://schemas.microsoft.com/office/drawing/2014/main" id="{1B616B2B-E47D-414D-A756-43845183E8A4}"/>
            </a:ext>
          </a:extLst>
        </xdr:cNvPr>
        <xdr:cNvCxnSpPr/>
      </xdr:nvCxnSpPr>
      <xdr:spPr>
        <a:xfrm flipH="1">
          <a:off x="1898650" y="946150"/>
          <a:ext cx="7004050" cy="5683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2</xdr:row>
      <xdr:rowOff>19050</xdr:rowOff>
    </xdr:from>
    <xdr:to>
      <xdr:col>16</xdr:col>
      <xdr:colOff>400050</xdr:colOff>
      <xdr:row>26</xdr:row>
      <xdr:rowOff>139700</xdr:rowOff>
    </xdr:to>
    <xdr:cxnSp macro="">
      <xdr:nvCxnSpPr>
        <xdr:cNvPr id="35" name="Straight Arrow Connector 30">
          <a:extLst>
            <a:ext uri="{FF2B5EF4-FFF2-40B4-BE49-F238E27FC236}">
              <a16:creationId xmlns:a16="http://schemas.microsoft.com/office/drawing/2014/main" id="{5E6D6AE2-7033-4737-A23D-BE3939797B30}"/>
            </a:ext>
          </a:extLst>
        </xdr:cNvPr>
        <xdr:cNvCxnSpPr/>
      </xdr:nvCxnSpPr>
      <xdr:spPr>
        <a:xfrm flipH="1">
          <a:off x="2235200" y="965200"/>
          <a:ext cx="7994650" cy="4540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577850</xdr:colOff>
      <xdr:row>1</xdr:row>
      <xdr:rowOff>158750</xdr:rowOff>
    </xdr:from>
    <xdr:to>
      <xdr:col>18</xdr:col>
      <xdr:colOff>292100</xdr:colOff>
      <xdr:row>32</xdr:row>
      <xdr:rowOff>120650</xdr:rowOff>
    </xdr:to>
    <xdr:cxnSp macro="">
      <xdr:nvCxnSpPr>
        <xdr:cNvPr id="40" name="Straight Arrow Connector 34">
          <a:extLst>
            <a:ext uri="{FF2B5EF4-FFF2-40B4-BE49-F238E27FC236}">
              <a16:creationId xmlns:a16="http://schemas.microsoft.com/office/drawing/2014/main" id="{DDFDDE7F-5D46-4482-8ABF-A5DBD62E0D07}"/>
            </a:ext>
          </a:extLst>
        </xdr:cNvPr>
        <xdr:cNvCxnSpPr/>
      </xdr:nvCxnSpPr>
      <xdr:spPr>
        <a:xfrm flipH="1">
          <a:off x="4235450" y="920750"/>
          <a:ext cx="7105650" cy="567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101600</xdr:colOff>
      <xdr:row>1</xdr:row>
      <xdr:rowOff>133350</xdr:rowOff>
    </xdr:from>
    <xdr:to>
      <xdr:col>21</xdr:col>
      <xdr:colOff>501650</xdr:colOff>
      <xdr:row>32</xdr:row>
      <xdr:rowOff>127000</xdr:rowOff>
    </xdr:to>
    <xdr:cxnSp macro="">
      <xdr:nvCxnSpPr>
        <xdr:cNvPr id="44" name="Straight Arrow Connector 39">
          <a:extLst>
            <a:ext uri="{FF2B5EF4-FFF2-40B4-BE49-F238E27FC236}">
              <a16:creationId xmlns:a16="http://schemas.microsoft.com/office/drawing/2014/main" id="{00A92293-3739-4B3A-B200-FAD5163F6360}"/>
            </a:ext>
          </a:extLst>
        </xdr:cNvPr>
        <xdr:cNvCxnSpPr/>
      </xdr:nvCxnSpPr>
      <xdr:spPr>
        <a:xfrm flipH="1">
          <a:off x="6807200" y="895350"/>
          <a:ext cx="6572250" cy="5702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1</xdr:row>
      <xdr:rowOff>127000</xdr:rowOff>
    </xdr:from>
    <xdr:to>
      <xdr:col>24</xdr:col>
      <xdr:colOff>361950</xdr:colOff>
      <xdr:row>32</xdr:row>
      <xdr:rowOff>114300</xdr:rowOff>
    </xdr:to>
    <xdr:cxnSp macro="">
      <xdr:nvCxnSpPr>
        <xdr:cNvPr id="47" name="Straight Arrow Connector 43">
          <a:extLst>
            <a:ext uri="{FF2B5EF4-FFF2-40B4-BE49-F238E27FC236}">
              <a16:creationId xmlns:a16="http://schemas.microsoft.com/office/drawing/2014/main" id="{06931DD8-FAF4-4C56-9340-1CA4B982CC15}"/>
            </a:ext>
          </a:extLst>
        </xdr:cNvPr>
        <xdr:cNvCxnSpPr/>
      </xdr:nvCxnSpPr>
      <xdr:spPr>
        <a:xfrm flipH="1">
          <a:off x="8991600" y="889000"/>
          <a:ext cx="6076950" cy="5695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1</xdr:row>
      <xdr:rowOff>165100</xdr:rowOff>
    </xdr:from>
    <xdr:to>
      <xdr:col>31</xdr:col>
      <xdr:colOff>292100</xdr:colOff>
      <xdr:row>32</xdr:row>
      <xdr:rowOff>146050</xdr:rowOff>
    </xdr:to>
    <xdr:cxnSp macro="">
      <xdr:nvCxnSpPr>
        <xdr:cNvPr id="52" name="Straight Arrow Connector 46">
          <a:extLst>
            <a:ext uri="{FF2B5EF4-FFF2-40B4-BE49-F238E27FC236}">
              <a16:creationId xmlns:a16="http://schemas.microsoft.com/office/drawing/2014/main" id="{42A9718C-5263-43D0-B103-4B4BE1911962}"/>
            </a:ext>
          </a:extLst>
        </xdr:cNvPr>
        <xdr:cNvCxnSpPr/>
      </xdr:nvCxnSpPr>
      <xdr:spPr>
        <a:xfrm flipH="1">
          <a:off x="10058400" y="927100"/>
          <a:ext cx="9207500" cy="56896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7</xdr:col>
      <xdr:colOff>94699</xdr:colOff>
      <xdr:row>32</xdr:row>
      <xdr:rowOff>2556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34A2D-061E-416C-B0A9-6B9226EB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4409524" cy="49523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438150</xdr:colOff>
      <xdr:row>2</xdr:row>
      <xdr:rowOff>0</xdr:rowOff>
    </xdr:from>
    <xdr:to>
      <xdr:col>5</xdr:col>
      <xdr:colOff>333375</xdr:colOff>
      <xdr:row>6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2EF835F-474E-4E5B-A611-22ECB6A311F7}"/>
            </a:ext>
          </a:extLst>
        </xdr:cNvPr>
        <xdr:cNvCxnSpPr/>
      </xdr:nvCxnSpPr>
      <xdr:spPr>
        <a:xfrm>
          <a:off x="438150" y="952500"/>
          <a:ext cx="2990850" cy="876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1</xdr:row>
      <xdr:rowOff>171450</xdr:rowOff>
    </xdr:from>
    <xdr:to>
      <xdr:col>5</xdr:col>
      <xdr:colOff>438150</xdr:colOff>
      <xdr:row>11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28A84FF-EFCF-4353-912D-354585CADAF6}"/>
            </a:ext>
          </a:extLst>
        </xdr:cNvPr>
        <xdr:cNvCxnSpPr/>
      </xdr:nvCxnSpPr>
      <xdr:spPr>
        <a:xfrm>
          <a:off x="1495425" y="933450"/>
          <a:ext cx="2038350" cy="1828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504825</xdr:colOff>
      <xdr:row>2</xdr:row>
      <xdr:rowOff>47625</xdr:rowOff>
    </xdr:from>
    <xdr:to>
      <xdr:col>10</xdr:col>
      <xdr:colOff>419101</xdr:colOff>
      <xdr:row>21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AEED34-71F4-4CF5-BCA6-C4D9B0C58FA6}"/>
            </a:ext>
          </a:extLst>
        </xdr:cNvPr>
        <xdr:cNvCxnSpPr/>
      </xdr:nvCxnSpPr>
      <xdr:spPr>
        <a:xfrm flipH="1">
          <a:off x="4210050" y="1000125"/>
          <a:ext cx="2352676" cy="37052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298450</xdr:colOff>
      <xdr:row>2</xdr:row>
      <xdr:rowOff>19050</xdr:rowOff>
    </xdr:from>
    <xdr:to>
      <xdr:col>16</xdr:col>
      <xdr:colOff>276225</xdr:colOff>
      <xdr:row>16</xdr:row>
      <xdr:rowOff>127000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20B25FA-45E3-4AF8-B609-94FD267AA876}"/>
            </a:ext>
          </a:extLst>
        </xdr:cNvPr>
        <xdr:cNvCxnSpPr/>
      </xdr:nvCxnSpPr>
      <xdr:spPr>
        <a:xfrm flipH="1">
          <a:off x="1517650" y="965200"/>
          <a:ext cx="8677275" cy="2686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2</xdr:row>
      <xdr:rowOff>28575</xdr:rowOff>
    </xdr:from>
    <xdr:to>
      <xdr:col>5</xdr:col>
      <xdr:colOff>552450</xdr:colOff>
      <xdr:row>10</xdr:row>
      <xdr:rowOff>123825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A1B80E0-55B7-43AE-B800-FE439120C30F}"/>
            </a:ext>
          </a:extLst>
        </xdr:cNvPr>
        <xdr:cNvCxnSpPr/>
      </xdr:nvCxnSpPr>
      <xdr:spPr>
        <a:xfrm>
          <a:off x="2962275" y="981075"/>
          <a:ext cx="685800" cy="1619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2</xdr:row>
      <xdr:rowOff>38100</xdr:rowOff>
    </xdr:from>
    <xdr:to>
      <xdr:col>6</xdr:col>
      <xdr:colOff>171450</xdr:colOff>
      <xdr:row>30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7D456BE-B2C5-4F0E-864D-3D158A00C3A6}"/>
            </a:ext>
          </a:extLst>
        </xdr:cNvPr>
        <xdr:cNvCxnSpPr/>
      </xdr:nvCxnSpPr>
      <xdr:spPr>
        <a:xfrm>
          <a:off x="2333625" y="990600"/>
          <a:ext cx="1543050" cy="54483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257176</xdr:colOff>
      <xdr:row>2</xdr:row>
      <xdr:rowOff>47625</xdr:rowOff>
    </xdr:from>
    <xdr:to>
      <xdr:col>14</xdr:col>
      <xdr:colOff>314325</xdr:colOff>
      <xdr:row>21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033BF42-2AD9-4111-9927-B548352D4A73}"/>
            </a:ext>
          </a:extLst>
        </xdr:cNvPr>
        <xdr:cNvCxnSpPr/>
      </xdr:nvCxnSpPr>
      <xdr:spPr>
        <a:xfrm flipH="1">
          <a:off x="866776" y="1000125"/>
          <a:ext cx="8029574" cy="3638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</xdr:row>
      <xdr:rowOff>133350</xdr:rowOff>
    </xdr:from>
    <xdr:to>
      <xdr:col>18</xdr:col>
      <xdr:colOff>180975</xdr:colOff>
      <xdr:row>21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480BBD-222F-4E9E-B74E-662256130DAE}"/>
            </a:ext>
          </a:extLst>
        </xdr:cNvPr>
        <xdr:cNvCxnSpPr/>
      </xdr:nvCxnSpPr>
      <xdr:spPr>
        <a:xfrm flipH="1">
          <a:off x="2257425" y="895350"/>
          <a:ext cx="9001125" cy="3790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</xdr:row>
      <xdr:rowOff>152400</xdr:rowOff>
    </xdr:from>
    <xdr:to>
      <xdr:col>31</xdr:col>
      <xdr:colOff>133351</xdr:colOff>
      <xdr:row>21</xdr:row>
      <xdr:rowOff>85725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BCF73FE-3EDE-4F2F-A750-F0635C352942}"/>
            </a:ext>
          </a:extLst>
        </xdr:cNvPr>
        <xdr:cNvCxnSpPr/>
      </xdr:nvCxnSpPr>
      <xdr:spPr>
        <a:xfrm flipH="1">
          <a:off x="4086225" y="914400"/>
          <a:ext cx="15049501" cy="37433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10</xdr:col>
      <xdr:colOff>158977</xdr:colOff>
      <xdr:row>33</xdr:row>
      <xdr:rowOff>139954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DB332-ACF4-45F7-A65E-A4D85AEE0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66900"/>
          <a:ext cx="4426177" cy="4940554"/>
        </a:xfrm>
        <a:prstGeom prst="rect">
          <a:avLst/>
        </a:prstGeom>
      </xdr:spPr>
    </xdr:pic>
    <xdr:clientData/>
  </xdr:twoCellAnchor>
  <xdr:twoCellAnchor editAs="oneCell">
    <xdr:from>
      <xdr:col>17</xdr:col>
      <xdr:colOff>6350</xdr:colOff>
      <xdr:row>8</xdr:row>
      <xdr:rowOff>101600</xdr:rowOff>
    </xdr:from>
    <xdr:to>
      <xdr:col>24</xdr:col>
      <xdr:colOff>165327</xdr:colOff>
      <xdr:row>35</xdr:row>
      <xdr:rowOff>57404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0A2B8-BB3D-4665-93AE-4AE4F2192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9550" y="2152650"/>
          <a:ext cx="4426177" cy="4940554"/>
        </a:xfrm>
        <a:prstGeom prst="rect">
          <a:avLst/>
        </a:prstGeom>
      </xdr:spPr>
    </xdr:pic>
    <xdr:clientData/>
  </xdr:twoCellAnchor>
  <xdr:twoCellAnchor>
    <xdr:from>
      <xdr:col>0</xdr:col>
      <xdr:colOff>704850</xdr:colOff>
      <xdr:row>2</xdr:row>
      <xdr:rowOff>19050</xdr:rowOff>
    </xdr:from>
    <xdr:to>
      <xdr:col>3</xdr:col>
      <xdr:colOff>25400</xdr:colOff>
      <xdr:row>9</xdr:row>
      <xdr:rowOff>6350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DBAF211-8421-436C-8465-907973C663E3}"/>
            </a:ext>
          </a:extLst>
        </xdr:cNvPr>
        <xdr:cNvCxnSpPr/>
      </xdr:nvCxnSpPr>
      <xdr:spPr>
        <a:xfrm>
          <a:off x="704850" y="965200"/>
          <a:ext cx="1943100" cy="127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628650</xdr:colOff>
      <xdr:row>2</xdr:row>
      <xdr:rowOff>12700</xdr:rowOff>
    </xdr:from>
    <xdr:to>
      <xdr:col>8</xdr:col>
      <xdr:colOff>57150</xdr:colOff>
      <xdr:row>12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A1BED2B-793B-4DCC-BE76-AAB1C654BA11}"/>
            </a:ext>
          </a:extLst>
        </xdr:cNvPr>
        <xdr:cNvCxnSpPr/>
      </xdr:nvCxnSpPr>
      <xdr:spPr>
        <a:xfrm>
          <a:off x="2311400" y="958850"/>
          <a:ext cx="3416300" cy="1955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520700</xdr:colOff>
      <xdr:row>2</xdr:row>
      <xdr:rowOff>133350</xdr:rowOff>
    </xdr:from>
    <xdr:to>
      <xdr:col>9</xdr:col>
      <xdr:colOff>88900</xdr:colOff>
      <xdr:row>32</xdr:row>
      <xdr:rowOff>139700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B4AA75B-C4DA-447C-86EC-B4E68D33CCEF}"/>
            </a:ext>
          </a:extLst>
        </xdr:cNvPr>
        <xdr:cNvCxnSpPr/>
      </xdr:nvCxnSpPr>
      <xdr:spPr>
        <a:xfrm>
          <a:off x="3143250" y="1079500"/>
          <a:ext cx="3225800" cy="5543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501650</xdr:colOff>
      <xdr:row>2</xdr:row>
      <xdr:rowOff>44450</xdr:rowOff>
    </xdr:from>
    <xdr:to>
      <xdr:col>8</xdr:col>
      <xdr:colOff>336550</xdr:colOff>
      <xdr:row>11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CB421EA-894C-4BF4-847D-3AE4F18F962B}"/>
            </a:ext>
          </a:extLst>
        </xdr:cNvPr>
        <xdr:cNvCxnSpPr/>
      </xdr:nvCxnSpPr>
      <xdr:spPr>
        <a:xfrm>
          <a:off x="3733800" y="990600"/>
          <a:ext cx="2273300" cy="17272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177800</xdr:colOff>
      <xdr:row>2</xdr:row>
      <xdr:rowOff>31750</xdr:rowOff>
    </xdr:from>
    <xdr:to>
      <xdr:col>11</xdr:col>
      <xdr:colOff>381000</xdr:colOff>
      <xdr:row>29</xdr:row>
      <xdr:rowOff>158750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72E5BB8-1F8C-4156-B2E8-DB4FF00EDF2C}"/>
            </a:ext>
          </a:extLst>
        </xdr:cNvPr>
        <xdr:cNvCxnSpPr/>
      </xdr:nvCxnSpPr>
      <xdr:spPr>
        <a:xfrm flipH="1">
          <a:off x="7067550" y="977900"/>
          <a:ext cx="812800" cy="5111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654050</xdr:colOff>
      <xdr:row>3</xdr:row>
      <xdr:rowOff>76200</xdr:rowOff>
    </xdr:from>
    <xdr:to>
      <xdr:col>17</xdr:col>
      <xdr:colOff>412750</xdr:colOff>
      <xdr:row>24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EF0DB8C-AD8C-4519-8A7D-8C624D197342}"/>
            </a:ext>
          </a:extLst>
        </xdr:cNvPr>
        <xdr:cNvCxnSpPr/>
      </xdr:nvCxnSpPr>
      <xdr:spPr>
        <a:xfrm>
          <a:off x="9982200" y="1206500"/>
          <a:ext cx="1790700" cy="3917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393700</xdr:colOff>
      <xdr:row>2</xdr:row>
      <xdr:rowOff>114300</xdr:rowOff>
    </xdr:from>
    <xdr:to>
      <xdr:col>19</xdr:col>
      <xdr:colOff>577850</xdr:colOff>
      <xdr:row>24</xdr:row>
      <xdr:rowOff>107950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D66B78A-080D-400F-92AE-12C8EBB0EEB8}"/>
            </a:ext>
          </a:extLst>
        </xdr:cNvPr>
        <xdr:cNvCxnSpPr/>
      </xdr:nvCxnSpPr>
      <xdr:spPr>
        <a:xfrm>
          <a:off x="12363450" y="1060450"/>
          <a:ext cx="793750" cy="4057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2</xdr:row>
      <xdr:rowOff>158750</xdr:rowOff>
    </xdr:from>
    <xdr:to>
      <xdr:col>19</xdr:col>
      <xdr:colOff>44450</xdr:colOff>
      <xdr:row>19</xdr:row>
      <xdr:rowOff>158750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F597211-30A4-4094-A85C-B1F82841EEC9}"/>
            </a:ext>
          </a:extLst>
        </xdr:cNvPr>
        <xdr:cNvCxnSpPr/>
      </xdr:nvCxnSpPr>
      <xdr:spPr>
        <a:xfrm>
          <a:off x="11112500" y="1104900"/>
          <a:ext cx="1511300" cy="3143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2</xdr:row>
      <xdr:rowOff>76200</xdr:rowOff>
    </xdr:from>
    <xdr:to>
      <xdr:col>21</xdr:col>
      <xdr:colOff>400050</xdr:colOff>
      <xdr:row>24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16DCE62-B252-4667-90AB-B06D8BB22A4C}"/>
            </a:ext>
          </a:extLst>
        </xdr:cNvPr>
        <xdr:cNvCxnSpPr/>
      </xdr:nvCxnSpPr>
      <xdr:spPr>
        <a:xfrm flipH="1">
          <a:off x="14065250" y="1022350"/>
          <a:ext cx="133350" cy="4064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476250</xdr:colOff>
      <xdr:row>2</xdr:row>
      <xdr:rowOff>38100</xdr:rowOff>
    </xdr:from>
    <xdr:to>
      <xdr:col>31</xdr:col>
      <xdr:colOff>165100</xdr:colOff>
      <xdr:row>24</xdr:row>
      <xdr:rowOff>146050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7594719-16DA-4EC7-8E58-3D06BC8C3827}"/>
            </a:ext>
          </a:extLst>
        </xdr:cNvPr>
        <xdr:cNvCxnSpPr/>
      </xdr:nvCxnSpPr>
      <xdr:spPr>
        <a:xfrm flipH="1">
          <a:off x="15494000" y="984250"/>
          <a:ext cx="4565650" cy="4171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558800</xdr:colOff>
      <xdr:row>2</xdr:row>
      <xdr:rowOff>133350</xdr:rowOff>
    </xdr:from>
    <xdr:to>
      <xdr:col>32</xdr:col>
      <xdr:colOff>361950</xdr:colOff>
      <xdr:row>20</xdr:row>
      <xdr:rowOff>31750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2D821CD-B19B-48E9-A185-9762C09C115C}"/>
            </a:ext>
          </a:extLst>
        </xdr:cNvPr>
        <xdr:cNvCxnSpPr/>
      </xdr:nvCxnSpPr>
      <xdr:spPr>
        <a:xfrm flipH="1">
          <a:off x="13138150" y="1079500"/>
          <a:ext cx="7727950" cy="3225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254000</xdr:colOff>
      <xdr:row>2</xdr:row>
      <xdr:rowOff>114300</xdr:rowOff>
    </xdr:from>
    <xdr:to>
      <xdr:col>36</xdr:col>
      <xdr:colOff>406400</xdr:colOff>
      <xdr:row>24</xdr:row>
      <xdr:rowOff>171450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E9B5CD8-1643-4C27-9C7E-40C775E3B433}"/>
            </a:ext>
          </a:extLst>
        </xdr:cNvPr>
        <xdr:cNvCxnSpPr/>
      </xdr:nvCxnSpPr>
      <xdr:spPr>
        <a:xfrm flipH="1">
          <a:off x="15881350" y="1060450"/>
          <a:ext cx="7467600" cy="41211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520700</xdr:colOff>
      <xdr:row>2</xdr:row>
      <xdr:rowOff>82550</xdr:rowOff>
    </xdr:from>
    <xdr:to>
      <xdr:col>10</xdr:col>
      <xdr:colOff>177800</xdr:colOff>
      <xdr:row>23</xdr:row>
      <xdr:rowOff>38100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9444D52-36BB-4384-B4D2-E50B737A736D}"/>
            </a:ext>
          </a:extLst>
        </xdr:cNvPr>
        <xdr:cNvCxnSpPr/>
      </xdr:nvCxnSpPr>
      <xdr:spPr>
        <a:xfrm flipH="1">
          <a:off x="6800850" y="1028700"/>
          <a:ext cx="266700" cy="3835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63500</xdr:colOff>
      <xdr:row>2</xdr:row>
      <xdr:rowOff>63500</xdr:rowOff>
    </xdr:from>
    <xdr:to>
      <xdr:col>24</xdr:col>
      <xdr:colOff>381000</xdr:colOff>
      <xdr:row>24</xdr:row>
      <xdr:rowOff>95250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54CA7814-32E4-4926-BE84-A55CF5B66247}"/>
            </a:ext>
          </a:extLst>
        </xdr:cNvPr>
        <xdr:cNvCxnSpPr/>
      </xdr:nvCxnSpPr>
      <xdr:spPr>
        <a:xfrm flipH="1">
          <a:off x="15081250" y="1009650"/>
          <a:ext cx="927100" cy="4095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56517</xdr:colOff>
      <xdr:row>31</xdr:row>
      <xdr:rowOff>145998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38CFF-596F-40D0-9EB2-58D326CBD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5066667" cy="54952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400050</xdr:colOff>
      <xdr:row>2</xdr:row>
      <xdr:rowOff>28575</xdr:rowOff>
    </xdr:from>
    <xdr:to>
      <xdr:col>2</xdr:col>
      <xdr:colOff>600075</xdr:colOff>
      <xdr:row>4</xdr:row>
      <xdr:rowOff>161925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9DFB2E2-567F-4498-A4EE-806C0FC26BA5}"/>
            </a:ext>
          </a:extLst>
        </xdr:cNvPr>
        <xdr:cNvCxnSpPr/>
      </xdr:nvCxnSpPr>
      <xdr:spPr>
        <a:xfrm>
          <a:off x="400050" y="981075"/>
          <a:ext cx="1419225" cy="514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2</xdr:row>
      <xdr:rowOff>38100</xdr:rowOff>
    </xdr:from>
    <xdr:to>
      <xdr:col>5</xdr:col>
      <xdr:colOff>228600</xdr:colOff>
      <xdr:row>9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BC2320F-15E5-4477-AD90-491E8F840271}"/>
            </a:ext>
          </a:extLst>
        </xdr:cNvPr>
        <xdr:cNvCxnSpPr/>
      </xdr:nvCxnSpPr>
      <xdr:spPr>
        <a:xfrm>
          <a:off x="1638300" y="990600"/>
          <a:ext cx="2333625" cy="13906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</xdr:row>
      <xdr:rowOff>28575</xdr:rowOff>
    </xdr:from>
    <xdr:to>
      <xdr:col>5</xdr:col>
      <xdr:colOff>381000</xdr:colOff>
      <xdr:row>16</xdr:row>
      <xdr:rowOff>76200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73B8CFC-A1C7-4B37-82CA-7DE014F2887E}"/>
            </a:ext>
          </a:extLst>
        </xdr:cNvPr>
        <xdr:cNvCxnSpPr/>
      </xdr:nvCxnSpPr>
      <xdr:spPr>
        <a:xfrm flipH="1">
          <a:off x="676275" y="981075"/>
          <a:ext cx="3448050" cy="27146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2</xdr:row>
      <xdr:rowOff>47625</xdr:rowOff>
    </xdr:from>
    <xdr:to>
      <xdr:col>6</xdr:col>
      <xdr:colOff>190500</xdr:colOff>
      <xdr:row>29</xdr:row>
      <xdr:rowOff>28575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B814439-8B0D-4B88-961D-B4A9BF61917E}"/>
            </a:ext>
          </a:extLst>
        </xdr:cNvPr>
        <xdr:cNvCxnSpPr/>
      </xdr:nvCxnSpPr>
      <xdr:spPr>
        <a:xfrm>
          <a:off x="2247900" y="1000125"/>
          <a:ext cx="2295525" cy="5124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1095375</xdr:colOff>
      <xdr:row>2</xdr:row>
      <xdr:rowOff>47625</xdr:rowOff>
    </xdr:from>
    <xdr:to>
      <xdr:col>13</xdr:col>
      <xdr:colOff>304801</xdr:colOff>
      <xdr:row>6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2FFB20A-FE84-4D01-A4BB-18D493527414}"/>
            </a:ext>
          </a:extLst>
        </xdr:cNvPr>
        <xdr:cNvCxnSpPr/>
      </xdr:nvCxnSpPr>
      <xdr:spPr>
        <a:xfrm flipH="1">
          <a:off x="3533775" y="1000125"/>
          <a:ext cx="5391151" cy="8477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180976</xdr:colOff>
      <xdr:row>2</xdr:row>
      <xdr:rowOff>0</xdr:rowOff>
    </xdr:from>
    <xdr:to>
      <xdr:col>39</xdr:col>
      <xdr:colOff>66675</xdr:colOff>
      <xdr:row>9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995264F-A18E-4B39-8D46-71B4CED76419}"/>
            </a:ext>
          </a:extLst>
        </xdr:cNvPr>
        <xdr:cNvCxnSpPr/>
      </xdr:nvCxnSpPr>
      <xdr:spPr>
        <a:xfrm flipH="1">
          <a:off x="4533901" y="952500"/>
          <a:ext cx="20002499" cy="1447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552450</xdr:colOff>
      <xdr:row>1</xdr:row>
      <xdr:rowOff>180975</xdr:rowOff>
    </xdr:from>
    <xdr:to>
      <xdr:col>11</xdr:col>
      <xdr:colOff>447675</xdr:colOff>
      <xdr:row>27</xdr:row>
      <xdr:rowOff>76200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7AE701F-86E1-48C8-8999-41A0688744E7}"/>
            </a:ext>
          </a:extLst>
        </xdr:cNvPr>
        <xdr:cNvCxnSpPr/>
      </xdr:nvCxnSpPr>
      <xdr:spPr>
        <a:xfrm flipH="1">
          <a:off x="4905375" y="942975"/>
          <a:ext cx="2943225" cy="4848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</xdr:row>
      <xdr:rowOff>142875</xdr:rowOff>
    </xdr:from>
    <xdr:to>
      <xdr:col>16</xdr:col>
      <xdr:colOff>47626</xdr:colOff>
      <xdr:row>16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BE0518D-F2AD-4D35-9E85-16F2C117602C}"/>
            </a:ext>
          </a:extLst>
        </xdr:cNvPr>
        <xdr:cNvCxnSpPr/>
      </xdr:nvCxnSpPr>
      <xdr:spPr>
        <a:xfrm flipH="1">
          <a:off x="2476500" y="904875"/>
          <a:ext cx="8020051" cy="27146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10</xdr:col>
      <xdr:colOff>237153</xdr:colOff>
      <xdr:row>32</xdr:row>
      <xdr:rowOff>27881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124DC-ADCE-4578-927C-8612372B7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950"/>
          <a:ext cx="7771428" cy="527615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1190625</xdr:colOff>
      <xdr:row>2</xdr:row>
      <xdr:rowOff>57150</xdr:rowOff>
    </xdr:from>
    <xdr:to>
      <xdr:col>4</xdr:col>
      <xdr:colOff>0</xdr:colOff>
      <xdr:row>5</xdr:row>
      <xdr:rowOff>19050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335E45-651F-4193-A7DD-2227A0954F31}"/>
            </a:ext>
          </a:extLst>
        </xdr:cNvPr>
        <xdr:cNvCxnSpPr/>
      </xdr:nvCxnSpPr>
      <xdr:spPr>
        <a:xfrm>
          <a:off x="1190625" y="1009650"/>
          <a:ext cx="243840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2</xdr:row>
      <xdr:rowOff>0</xdr:rowOff>
    </xdr:from>
    <xdr:to>
      <xdr:col>8</xdr:col>
      <xdr:colOff>209550</xdr:colOff>
      <xdr:row>31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EA027E1-7247-4ABF-A57E-25FA3F83CA20}"/>
            </a:ext>
          </a:extLst>
        </xdr:cNvPr>
        <xdr:cNvCxnSpPr/>
      </xdr:nvCxnSpPr>
      <xdr:spPr>
        <a:xfrm>
          <a:off x="3476625" y="952500"/>
          <a:ext cx="3048000" cy="56483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2</xdr:row>
      <xdr:rowOff>38100</xdr:rowOff>
    </xdr:from>
    <xdr:to>
      <xdr:col>4</xdr:col>
      <xdr:colOff>447675</xdr:colOff>
      <xdr:row>10</xdr:row>
      <xdr:rowOff>95250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9855BF9-8B4D-4B34-94D1-00B5DCC640B9}"/>
            </a:ext>
          </a:extLst>
        </xdr:cNvPr>
        <xdr:cNvCxnSpPr/>
      </xdr:nvCxnSpPr>
      <xdr:spPr>
        <a:xfrm flipH="1">
          <a:off x="3981450" y="990600"/>
          <a:ext cx="95250" cy="15811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2</xdr:row>
      <xdr:rowOff>38100</xdr:rowOff>
    </xdr:from>
    <xdr:to>
      <xdr:col>16</xdr:col>
      <xdr:colOff>133350</xdr:colOff>
      <xdr:row>13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EB1533-3A36-471B-8DD5-2AE2220D01CC}"/>
            </a:ext>
          </a:extLst>
        </xdr:cNvPr>
        <xdr:cNvCxnSpPr/>
      </xdr:nvCxnSpPr>
      <xdr:spPr>
        <a:xfrm flipH="1">
          <a:off x="2371725" y="990600"/>
          <a:ext cx="8953500" cy="20669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790576</xdr:colOff>
      <xdr:row>1</xdr:row>
      <xdr:rowOff>180975</xdr:rowOff>
    </xdr:from>
    <xdr:to>
      <xdr:col>39</xdr:col>
      <xdr:colOff>95250</xdr:colOff>
      <xdr:row>10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C83605-36BE-48F5-A812-8BD3A296730D}"/>
            </a:ext>
          </a:extLst>
        </xdr:cNvPr>
        <xdr:cNvCxnSpPr/>
      </xdr:nvCxnSpPr>
      <xdr:spPr>
        <a:xfrm flipH="1">
          <a:off x="790576" y="942975"/>
          <a:ext cx="24517349" cy="1657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</xdr:row>
      <xdr:rowOff>152400</xdr:rowOff>
    </xdr:from>
    <xdr:to>
      <xdr:col>12</xdr:col>
      <xdr:colOff>314326</xdr:colOff>
      <xdr:row>13</xdr:row>
      <xdr:rowOff>9525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D216E5A-0FED-4FEF-ADD7-6E99B6D33A97}"/>
            </a:ext>
          </a:extLst>
        </xdr:cNvPr>
        <xdr:cNvCxnSpPr/>
      </xdr:nvCxnSpPr>
      <xdr:spPr>
        <a:xfrm flipH="1">
          <a:off x="6010275" y="914400"/>
          <a:ext cx="3057526" cy="21431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552450</xdr:colOff>
      <xdr:row>2</xdr:row>
      <xdr:rowOff>47625</xdr:rowOff>
    </xdr:from>
    <xdr:to>
      <xdr:col>14</xdr:col>
      <xdr:colOff>114300</xdr:colOff>
      <xdr:row>13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8F2B902-C73B-4CF5-B502-8C014F58EF27}"/>
            </a:ext>
          </a:extLst>
        </xdr:cNvPr>
        <xdr:cNvCxnSpPr/>
      </xdr:nvCxnSpPr>
      <xdr:spPr>
        <a:xfrm flipH="1">
          <a:off x="552450" y="1000125"/>
          <a:ext cx="9534525" cy="20669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</xdr:row>
      <xdr:rowOff>142875</xdr:rowOff>
    </xdr:from>
    <xdr:to>
      <xdr:col>5</xdr:col>
      <xdr:colOff>456550</xdr:colOff>
      <xdr:row>33</xdr:row>
      <xdr:rowOff>151708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DCE271D9-264A-46D8-8FBF-9AD6431DB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476375"/>
          <a:ext cx="5200000" cy="553333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409575</xdr:colOff>
      <xdr:row>2</xdr:row>
      <xdr:rowOff>28575</xdr:rowOff>
    </xdr:from>
    <xdr:to>
      <xdr:col>3</xdr:col>
      <xdr:colOff>85725</xdr:colOff>
      <xdr:row>5</xdr:row>
      <xdr:rowOff>142875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BF5225E-4E0B-48CC-BFF2-D15F61E26AD3}"/>
            </a:ext>
          </a:extLst>
        </xdr:cNvPr>
        <xdr:cNvCxnSpPr/>
      </xdr:nvCxnSpPr>
      <xdr:spPr>
        <a:xfrm>
          <a:off x="409575" y="981075"/>
          <a:ext cx="1504950" cy="685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2</xdr:row>
      <xdr:rowOff>19050</xdr:rowOff>
    </xdr:from>
    <xdr:to>
      <xdr:col>5</xdr:col>
      <xdr:colOff>600075</xdr:colOff>
      <xdr:row>30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D0D574C-E022-4897-8531-410A9AD1E467}"/>
            </a:ext>
          </a:extLst>
        </xdr:cNvPr>
        <xdr:cNvCxnSpPr/>
      </xdr:nvCxnSpPr>
      <xdr:spPr>
        <a:xfrm>
          <a:off x="2266950" y="971550"/>
          <a:ext cx="2333625" cy="53911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</xdr:row>
      <xdr:rowOff>28575</xdr:rowOff>
    </xdr:from>
    <xdr:to>
      <xdr:col>5</xdr:col>
      <xdr:colOff>200026</xdr:colOff>
      <xdr:row>16</xdr:row>
      <xdr:rowOff>180975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FD3AC0C-723B-4B35-8FA3-DF78FE2493E0}"/>
            </a:ext>
          </a:extLst>
        </xdr:cNvPr>
        <xdr:cNvCxnSpPr/>
      </xdr:nvCxnSpPr>
      <xdr:spPr>
        <a:xfrm flipH="1">
          <a:off x="504825" y="981075"/>
          <a:ext cx="3695701" cy="2819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2</xdr:row>
      <xdr:rowOff>57150</xdr:rowOff>
    </xdr:from>
    <xdr:to>
      <xdr:col>11</xdr:col>
      <xdr:colOff>466727</xdr:colOff>
      <xdr:row>28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B9368BE-8CB4-4216-912D-B8FAB39D9758}"/>
            </a:ext>
          </a:extLst>
        </xdr:cNvPr>
        <xdr:cNvCxnSpPr/>
      </xdr:nvCxnSpPr>
      <xdr:spPr>
        <a:xfrm flipH="1">
          <a:off x="5200650" y="1009650"/>
          <a:ext cx="2924177" cy="50482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1054101</xdr:colOff>
      <xdr:row>1</xdr:row>
      <xdr:rowOff>139700</xdr:rowOff>
    </xdr:from>
    <xdr:to>
      <xdr:col>16</xdr:col>
      <xdr:colOff>12700</xdr:colOff>
      <xdr:row>7</xdr:row>
      <xdr:rowOff>133350</xdr:rowOff>
    </xdr:to>
    <xdr:cxnSp macro="">
      <xdr:nvCxnSpPr>
        <xdr:cNvPr id="8" name="Straight Arrow Connector 15">
          <a:extLst>
            <a:ext uri="{FF2B5EF4-FFF2-40B4-BE49-F238E27FC236}">
              <a16:creationId xmlns:a16="http://schemas.microsoft.com/office/drawing/2014/main" id="{AD5BB647-4C2A-4FAE-AC35-FA50DB6AB597}"/>
            </a:ext>
          </a:extLst>
        </xdr:cNvPr>
        <xdr:cNvCxnSpPr/>
      </xdr:nvCxnSpPr>
      <xdr:spPr>
        <a:xfrm flipH="1">
          <a:off x="3492501" y="901700"/>
          <a:ext cx="7302499" cy="1098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1</xdr:row>
      <xdr:rowOff>161925</xdr:rowOff>
    </xdr:from>
    <xdr:to>
      <xdr:col>39</xdr:col>
      <xdr:colOff>57150</xdr:colOff>
      <xdr:row>10</xdr:row>
      <xdr:rowOff>57150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81A8477-6A81-4434-B9FB-BD9CC23F4D4C}"/>
            </a:ext>
          </a:extLst>
        </xdr:cNvPr>
        <xdr:cNvCxnSpPr/>
      </xdr:nvCxnSpPr>
      <xdr:spPr>
        <a:xfrm flipH="1">
          <a:off x="4514850" y="923925"/>
          <a:ext cx="20269200" cy="16097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641350</xdr:colOff>
      <xdr:row>9</xdr:row>
      <xdr:rowOff>35350</xdr:rowOff>
    </xdr:from>
    <xdr:to>
      <xdr:col>12</xdr:col>
      <xdr:colOff>254000</xdr:colOff>
      <xdr:row>40</xdr:row>
      <xdr:rowOff>162151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73122-9832-4024-BA5C-8808B2695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2092750"/>
          <a:ext cx="7232650" cy="573702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26</xdr:col>
      <xdr:colOff>12983</xdr:colOff>
      <xdr:row>30</xdr:row>
      <xdr:rowOff>146275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FA2C97-CFE1-42D9-9014-73C60FCD0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866900"/>
          <a:ext cx="5499383" cy="4381725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2</xdr:row>
      <xdr:rowOff>44450</xdr:rowOff>
    </xdr:from>
    <xdr:to>
      <xdr:col>5</xdr:col>
      <xdr:colOff>152400</xdr:colOff>
      <xdr:row>5</xdr:row>
      <xdr:rowOff>171450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312CA0D-7C66-4A7A-9021-EE82FD3824DD}"/>
            </a:ext>
          </a:extLst>
        </xdr:cNvPr>
        <xdr:cNvCxnSpPr/>
      </xdr:nvCxnSpPr>
      <xdr:spPr>
        <a:xfrm>
          <a:off x="171450" y="838200"/>
          <a:ext cx="3886200" cy="679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165100</xdr:colOff>
      <xdr:row>2</xdr:row>
      <xdr:rowOff>31750</xdr:rowOff>
    </xdr:from>
    <xdr:to>
      <xdr:col>5</xdr:col>
      <xdr:colOff>76200</xdr:colOff>
      <xdr:row>11</xdr:row>
      <xdr:rowOff>50800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AA77183-4A33-4FB4-BDC1-9CA596529B48}"/>
            </a:ext>
          </a:extLst>
        </xdr:cNvPr>
        <xdr:cNvCxnSpPr/>
      </xdr:nvCxnSpPr>
      <xdr:spPr>
        <a:xfrm>
          <a:off x="774700" y="825500"/>
          <a:ext cx="3206750" cy="1676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400050</xdr:colOff>
      <xdr:row>2</xdr:row>
      <xdr:rowOff>67100</xdr:rowOff>
    </xdr:from>
    <xdr:to>
      <xdr:col>36</xdr:col>
      <xdr:colOff>190500</xdr:colOff>
      <xdr:row>29</xdr:row>
      <xdr:rowOff>6350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4DDD0DF-C341-4349-889C-DED59AC3CE43}"/>
            </a:ext>
          </a:extLst>
        </xdr:cNvPr>
        <xdr:cNvCxnSpPr/>
      </xdr:nvCxnSpPr>
      <xdr:spPr>
        <a:xfrm flipH="1">
          <a:off x="16497300" y="860850"/>
          <a:ext cx="6496050" cy="49113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425450</xdr:colOff>
      <xdr:row>2</xdr:row>
      <xdr:rowOff>41700</xdr:rowOff>
    </xdr:from>
    <xdr:to>
      <xdr:col>30</xdr:col>
      <xdr:colOff>577850</xdr:colOff>
      <xdr:row>14</xdr:row>
      <xdr:rowOff>120650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FB9F7D-B9F5-4ED2-9DB4-075D3EA6B4C5}"/>
            </a:ext>
          </a:extLst>
        </xdr:cNvPr>
        <xdr:cNvCxnSpPr/>
      </xdr:nvCxnSpPr>
      <xdr:spPr>
        <a:xfrm flipH="1">
          <a:off x="16522700" y="835450"/>
          <a:ext cx="3200400" cy="22887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107950</xdr:colOff>
      <xdr:row>2</xdr:row>
      <xdr:rowOff>35350</xdr:rowOff>
    </xdr:from>
    <xdr:to>
      <xdr:col>11</xdr:col>
      <xdr:colOff>254000</xdr:colOff>
      <xdr:row>32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6B23500-0D1F-4548-926F-CF7296841EED}"/>
            </a:ext>
          </a:extLst>
        </xdr:cNvPr>
        <xdr:cNvCxnSpPr/>
      </xdr:nvCxnSpPr>
      <xdr:spPr>
        <a:xfrm flipH="1">
          <a:off x="7670800" y="829100"/>
          <a:ext cx="146050" cy="5603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3</xdr:row>
      <xdr:rowOff>111550</xdr:rowOff>
    </xdr:from>
    <xdr:to>
      <xdr:col>17</xdr:col>
      <xdr:colOff>463550</xdr:colOff>
      <xdr:row>15</xdr:row>
      <xdr:rowOff>6350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BFB2FEB-2B24-4A54-9A2C-595319E04F94}"/>
            </a:ext>
          </a:extLst>
        </xdr:cNvPr>
        <xdr:cNvCxnSpPr/>
      </xdr:nvCxnSpPr>
      <xdr:spPr>
        <a:xfrm>
          <a:off x="10928350" y="1089450"/>
          <a:ext cx="755650" cy="21046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2</xdr:row>
      <xdr:rowOff>41700</xdr:rowOff>
    </xdr:from>
    <xdr:to>
      <xdr:col>10</xdr:col>
      <xdr:colOff>171450</xdr:colOff>
      <xdr:row>33</xdr:row>
      <xdr:rowOff>120650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ECF4C9E-37BC-4046-A061-1DDD51081AC1}"/>
            </a:ext>
          </a:extLst>
        </xdr:cNvPr>
        <xdr:cNvCxnSpPr/>
      </xdr:nvCxnSpPr>
      <xdr:spPr>
        <a:xfrm>
          <a:off x="2203450" y="835450"/>
          <a:ext cx="4921250" cy="57876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1028700</xdr:colOff>
      <xdr:row>1</xdr:row>
      <xdr:rowOff>156000</xdr:rowOff>
    </xdr:from>
    <xdr:to>
      <xdr:col>5</xdr:col>
      <xdr:colOff>260350</xdr:colOff>
      <xdr:row>11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F5079CA-84CF-40F9-9C8D-CC3EBE97FEC3}"/>
            </a:ext>
          </a:extLst>
        </xdr:cNvPr>
        <xdr:cNvCxnSpPr/>
      </xdr:nvCxnSpPr>
      <xdr:spPr>
        <a:xfrm>
          <a:off x="3587750" y="765600"/>
          <a:ext cx="577850" cy="17807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</xdr:colOff>
      <xdr:row>3</xdr:row>
      <xdr:rowOff>73450</xdr:rowOff>
    </xdr:from>
    <xdr:to>
      <xdr:col>1</xdr:col>
      <xdr:colOff>196850</xdr:colOff>
      <xdr:row>33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DE7D8F5-D361-46FC-B238-997BD4496E45}"/>
            </a:ext>
          </a:extLst>
        </xdr:cNvPr>
        <xdr:cNvCxnSpPr/>
      </xdr:nvCxnSpPr>
      <xdr:spPr>
        <a:xfrm flipH="1">
          <a:off x="660400" y="1051350"/>
          <a:ext cx="146050" cy="5603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260350</xdr:colOff>
      <xdr:row>2</xdr:row>
      <xdr:rowOff>19050</xdr:rowOff>
    </xdr:from>
    <xdr:to>
      <xdr:col>10</xdr:col>
      <xdr:colOff>317500</xdr:colOff>
      <xdr:row>31</xdr:row>
      <xdr:rowOff>82550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B10A362-4D9F-4DFF-AEEB-296B8B4BCE64}"/>
            </a:ext>
          </a:extLst>
        </xdr:cNvPr>
        <xdr:cNvCxnSpPr/>
      </xdr:nvCxnSpPr>
      <xdr:spPr>
        <a:xfrm flipH="1">
          <a:off x="7213600" y="812800"/>
          <a:ext cx="57150" cy="54038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84D6A-AA6A-41F1-A5E3-71249C61EA12}" name="Table1" displayName="Table1" ref="A1:AN2" totalsRowShown="0" headerRowDxfId="7" tableBorderDxfId="6" headerRowCellStyle="Normal 2">
  <autoFilter ref="A1:AN2" xr:uid="{F7484D6A-AA6A-41F1-A5E3-71249C61EA12}"/>
  <tableColumns count="40">
    <tableColumn id="1" xr3:uid="{9613D257-C0AA-47A9-8B1D-DDC55B29A9E8}" name="CUSTOMER NAME"/>
    <tableColumn id="2" xr3:uid="{30A569B1-6A8F-48ED-A9E4-D00305DA1858}" name="_x000a__x000a_Assignment_x000a_"/>
    <tableColumn id="3" xr3:uid="{61CC5003-3F18-45F5-A6F9-F0832F2B8E86}" name="INVOICE DATE" dataDxfId="5"/>
    <tableColumn id="4" xr3:uid="{2DF495E3-1957-4592-8CB6-02B06C37FE9C}" name="Invoice total Amount "/>
    <tableColumn id="5" xr3:uid="{1ED66482-A8E7-4D18-9E67-DD4F09D2CE1E}" name="Invoice Number NUMBER"/>
    <tableColumn id="6" xr3:uid="{83F759FB-B05D-408B-84FB-451E3274AC40}" name="CUSTOMER PO NUMBER"/>
    <tableColumn id="7" xr3:uid="{A92094FB-6353-42C8-959A-3BEE09E9EAD3}" name="Promo START DATE"/>
    <tableColumn id="8" xr3:uid="{3FB7B741-04A9-48E0-B3BC-AAA50823708E}" name="promo END DATE"/>
    <tableColumn id="9" xr3:uid="{0A702139-0389-4382-9B58-12ACDA0E29F2}" name="DIVISION"/>
    <tableColumn id="10" xr3:uid="{7844A328-F941-484A-9B67-49FEF954F144}" name="WAREHOUSE"/>
    <tableColumn id="11" xr3:uid="{7ACFD249-BFF1-4D81-9643-66CE97216C26}" name="INVOICE AMOUNT (WITHOUT TAX)"/>
    <tableColumn id="12" xr3:uid="{850E930F-5488-47FB-8397-118D090736F8}" name="FEDERAL TAX AMOUNT"/>
    <tableColumn id="13" xr3:uid="{A94AACEF-78B0-48D0-85E6-5049F1120E55}" name="PROVINCIAL TAX AMOUNT"/>
    <tableColumn id="14" xr3:uid="{4BA1CC3D-5BB5-4A96-B777-9C6DCC717CAC}" name="Customer Comments"/>
    <tableColumn id="15" xr3:uid="{45D8B056-DDE8-43FB-A74D-B31D19F4D5DA}" name="CUST PRODUCT CODE"/>
    <tableColumn id="16" xr3:uid="{1043CE58-AB89-4B85-8D6D-820083E44D3A}" name="GMI UPC CODE"/>
    <tableColumn id="17" xr3:uid="{A5CE614C-6370-4292-80DE-D8E7C15AD257}" name="DEDUCTION REASON"/>
    <tableColumn id="18" xr3:uid="{DAA2B6C0-1024-478A-B61C-EF308B974755}" name="DEDUCTION Code"/>
    <tableColumn id="19" xr3:uid="{447D9C65-4340-4EA3-91A4-86F42292BCFE}" name="PRODUCT DESCRIPTION "/>
    <tableColumn id="20" xr3:uid="{2A6B9953-9680-442D-8474-35D080C892A1}" name="PO Number"/>
    <tableColumn id="21" xr3:uid="{5D03A758-EE87-4701-A87A-CF6EBEDD61F6}" name="GMI QTY"/>
    <tableColumn id="22" xr3:uid="{3E2CB1CA-80A6-491E-8B2E-D324B5ED89B4}" name="CUSTOMER QTY"/>
    <tableColumn id="23" xr3:uid="{BD579FDA-5D39-41A6-B48B-A3D20978E424}" name="SHORTAGE QTY"/>
    <tableColumn id="24" xr3:uid="{438CF34B-7B8C-439E-9EBE-C1F3E71166E5}" name="GMI RATE"/>
    <tableColumn id="25" xr3:uid="{3B0C5ECB-8A39-4FBE-A257-7C6B9E94A0A6}" name="CUSTOMER RATE"/>
    <tableColumn id="26" xr3:uid="{D8694BA0-72E7-4749-A603-A5CD6C491F00}" name="RATE DIFFERENCE"/>
    <tableColumn id="27" xr3:uid="{99D07D7B-74EC-4C65-8B08-BAA93FB6D81E}" name="OI Rate"/>
    <tableColumn id="28" xr3:uid="{7B562A58-C0D1-43D5-9DF7-A948C5CCADAA}" name="Swell Allowance"/>
    <tableColumn id="29" xr3:uid="{28DB6E9A-7BA1-4609-8079-453024D22251}" name="Surcharge/Freight Rate"/>
    <tableColumn id="30" xr3:uid="{AD88E1B9-C87A-4E04-9C35-D1DC02CA3FB1}" name="Rate 1"/>
    <tableColumn id="31" xr3:uid="{CC77BD52-BCF9-4FDF-AAEA-565C9C0AC93D}" name="Rate 2"/>
    <tableColumn id="32" xr3:uid="{D76BF555-1CB4-498E-8BE2-84840FA738AD}" name="LINE ITEM AMOUNT"/>
    <tableColumn id="33" xr3:uid="{063BCE40-E064-4D02-A835-A39968BE34DB}" name="LINE ITEM DESC"/>
    <tableColumn id="34" xr3:uid="{F42914A2-4DA0-405C-B55A-D13C9931B841}" name="Deal Number"/>
    <tableColumn id="35" xr3:uid="{2D088209-827B-4B22-B556-02D59AB5F0E0}" name="Store Number"/>
    <tableColumn id="36" xr3:uid="{D3F4BCBD-555F-4563-B84F-DE2EDB7BB06D}" name="Store Name"/>
    <tableColumn id="37" xr3:uid="{6557E41B-A508-4AB7-A615-7AFC4BDF2E66}" name="Line FEDERAL TAX AMOUNT"/>
    <tableColumn id="38" xr3:uid="{0F73AF96-EE2C-4C21-BD7D-8BB1C3438812}" name="Line PROVINCIAL TAX AMOUNT"/>
    <tableColumn id="39" xr3:uid="{65B9F1B2-6095-4240-8ADE-58A6A50E57A2}" name="Line DIVISION"/>
    <tableColumn id="40" xr3:uid="{0E99235F-062D-4662-A2E2-625BDA0314D9}" name="PO 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8351-FBE7-4051-A71C-4754CB45092E}">
  <dimension ref="A1:AN27"/>
  <sheetViews>
    <sheetView tabSelected="1" workbookViewId="0">
      <selection activeCell="Q2" sqref="Q2"/>
    </sheetView>
  </sheetViews>
  <sheetFormatPr defaultRowHeight="14.45"/>
  <cols>
    <col min="1" max="1" width="16" customWidth="1"/>
    <col min="4" max="4" width="10.140625" bestFit="1" customWidth="1"/>
    <col min="5" max="5" width="18.140625" bestFit="1" customWidth="1"/>
    <col min="11" max="11" width="30" customWidth="1"/>
    <col min="17" max="17" width="24.5703125" customWidth="1"/>
    <col min="18" max="18" width="17.85546875" customWidth="1"/>
    <col min="40" max="40" width="9.85546875" bestFit="1" customWidth="1"/>
  </cols>
  <sheetData>
    <row r="1" spans="1:40" ht="4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C2" s="7">
        <v>44065</v>
      </c>
      <c r="D2" s="6">
        <v>29341.55</v>
      </c>
      <c r="E2">
        <v>111490968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s="32" t="s">
        <v>42</v>
      </c>
      <c r="L2" s="5">
        <v>3375.57</v>
      </c>
      <c r="M2" t="s">
        <v>41</v>
      </c>
      <c r="N2" t="s">
        <v>41</v>
      </c>
      <c r="O2" t="s">
        <v>41</v>
      </c>
      <c r="P2" t="s">
        <v>41</v>
      </c>
      <c r="Q2" t="s">
        <v>43</v>
      </c>
      <c r="R2" t="s">
        <v>44</v>
      </c>
      <c r="S2" t="s">
        <v>41</v>
      </c>
      <c r="T2">
        <v>14571360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>
        <v>0.28999999999999998</v>
      </c>
      <c r="AD2" t="s">
        <v>41</v>
      </c>
      <c r="AE2" t="s">
        <v>41</v>
      </c>
      <c r="AF2">
        <v>38.28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s="7">
        <v>44059</v>
      </c>
    </row>
    <row r="3" spans="1:40">
      <c r="Q3" t="s">
        <v>43</v>
      </c>
      <c r="R3" t="s">
        <v>44</v>
      </c>
      <c r="T3">
        <v>14571360</v>
      </c>
      <c r="AF3">
        <v>464.49</v>
      </c>
      <c r="AN3" s="7">
        <v>44059</v>
      </c>
    </row>
    <row r="4" spans="1:40">
      <c r="Q4" t="s">
        <v>43</v>
      </c>
      <c r="R4" t="s">
        <v>44</v>
      </c>
      <c r="T4">
        <v>14571360</v>
      </c>
      <c r="AF4" s="5">
        <v>18296.830000000002</v>
      </c>
      <c r="AN4" s="7">
        <v>44059</v>
      </c>
    </row>
    <row r="5" spans="1:40">
      <c r="Q5" t="s">
        <v>43</v>
      </c>
      <c r="R5" t="s">
        <v>44</v>
      </c>
      <c r="T5">
        <v>14571360</v>
      </c>
      <c r="AF5" s="5">
        <v>6037.42</v>
      </c>
      <c r="AN5" s="7">
        <v>44059</v>
      </c>
    </row>
    <row r="6" spans="1:40">
      <c r="Q6" t="s">
        <v>43</v>
      </c>
      <c r="R6" t="s">
        <v>44</v>
      </c>
      <c r="T6">
        <v>14573222</v>
      </c>
      <c r="AF6" s="5">
        <v>1128.96</v>
      </c>
      <c r="AN6" s="7">
        <v>44060</v>
      </c>
    </row>
    <row r="7" spans="1:40">
      <c r="Q7" t="s">
        <v>43</v>
      </c>
      <c r="R7" t="s">
        <v>44</v>
      </c>
      <c r="T7">
        <v>14573222</v>
      </c>
      <c r="AN7" s="7">
        <v>44060</v>
      </c>
    </row>
    <row r="8" spans="1:40">
      <c r="Q8" t="s">
        <v>43</v>
      </c>
      <c r="R8" t="s">
        <v>44</v>
      </c>
      <c r="T8">
        <v>14573223</v>
      </c>
      <c r="AN8" s="7">
        <v>44061</v>
      </c>
    </row>
    <row r="9" spans="1:40">
      <c r="Q9" t="s">
        <v>43</v>
      </c>
      <c r="R9" t="s">
        <v>44</v>
      </c>
      <c r="T9">
        <v>14573223</v>
      </c>
      <c r="AN9" s="7">
        <v>44061</v>
      </c>
    </row>
    <row r="10" spans="1:40">
      <c r="Q10" t="s">
        <v>43</v>
      </c>
      <c r="R10" t="s">
        <v>44</v>
      </c>
      <c r="T10">
        <v>14573223</v>
      </c>
      <c r="AN10" s="7">
        <v>44061</v>
      </c>
    </row>
    <row r="11" spans="1:40">
      <c r="Q11" t="s">
        <v>43</v>
      </c>
      <c r="R11" t="s">
        <v>44</v>
      </c>
      <c r="T11">
        <v>14573223</v>
      </c>
      <c r="AN11" s="7">
        <v>44061</v>
      </c>
    </row>
    <row r="12" spans="1:40">
      <c r="Q12" t="s">
        <v>43</v>
      </c>
      <c r="R12" t="s">
        <v>44</v>
      </c>
      <c r="T12">
        <v>14573223</v>
      </c>
      <c r="AN12" s="7">
        <v>44061</v>
      </c>
    </row>
    <row r="13" spans="1:40">
      <c r="Q13" t="s">
        <v>43</v>
      </c>
      <c r="R13" t="s">
        <v>44</v>
      </c>
      <c r="T13">
        <v>14573223</v>
      </c>
      <c r="AN13" s="7">
        <v>44061</v>
      </c>
    </row>
    <row r="14" spans="1:40">
      <c r="Q14" t="s">
        <v>43</v>
      </c>
      <c r="R14" t="s">
        <v>44</v>
      </c>
      <c r="T14">
        <v>14573223</v>
      </c>
      <c r="AN14" s="7">
        <v>44061</v>
      </c>
    </row>
    <row r="15" spans="1:40">
      <c r="Q15" t="s">
        <v>43</v>
      </c>
      <c r="R15" t="s">
        <v>44</v>
      </c>
      <c r="T15">
        <v>14573223</v>
      </c>
      <c r="AN15" s="7">
        <v>44061</v>
      </c>
    </row>
    <row r="16" spans="1:40">
      <c r="Q16" t="s">
        <v>43</v>
      </c>
      <c r="R16" t="s">
        <v>44</v>
      </c>
      <c r="T16">
        <v>14573223</v>
      </c>
      <c r="AN16" s="7">
        <v>44061</v>
      </c>
    </row>
    <row r="17" spans="17:40">
      <c r="Q17" t="s">
        <v>43</v>
      </c>
      <c r="R17" t="s">
        <v>44</v>
      </c>
      <c r="T17">
        <v>14574003</v>
      </c>
      <c r="AN17" s="7">
        <v>44062</v>
      </c>
    </row>
    <row r="18" spans="17:40">
      <c r="Q18" t="s">
        <v>43</v>
      </c>
      <c r="R18" t="s">
        <v>44</v>
      </c>
      <c r="T18">
        <v>14574004</v>
      </c>
      <c r="AN18" s="7">
        <v>44063</v>
      </c>
    </row>
    <row r="19" spans="17:40">
      <c r="Q19" t="s">
        <v>43</v>
      </c>
      <c r="R19" t="s">
        <v>44</v>
      </c>
      <c r="T19">
        <v>14574004</v>
      </c>
      <c r="AN19" s="7">
        <v>44063</v>
      </c>
    </row>
    <row r="20" spans="17:40">
      <c r="Q20" t="s">
        <v>43</v>
      </c>
      <c r="R20" t="s">
        <v>44</v>
      </c>
      <c r="T20">
        <v>14574004</v>
      </c>
      <c r="AN20" s="7">
        <v>44063</v>
      </c>
    </row>
    <row r="21" spans="17:40">
      <c r="Q21" t="s">
        <v>43</v>
      </c>
      <c r="R21" t="s">
        <v>44</v>
      </c>
      <c r="T21">
        <v>14574004</v>
      </c>
      <c r="AN21" s="7">
        <v>44063</v>
      </c>
    </row>
    <row r="22" spans="17:40">
      <c r="Q22" t="s">
        <v>43</v>
      </c>
      <c r="R22" t="s">
        <v>44</v>
      </c>
      <c r="T22">
        <v>14574004</v>
      </c>
      <c r="AN22" s="7">
        <v>44063</v>
      </c>
    </row>
    <row r="23" spans="17:40">
      <c r="Q23" t="s">
        <v>43</v>
      </c>
      <c r="R23" t="s">
        <v>44</v>
      </c>
      <c r="T23">
        <v>14574004</v>
      </c>
      <c r="AN23" s="7">
        <v>44063</v>
      </c>
    </row>
    <row r="24" spans="17:40">
      <c r="Q24" t="s">
        <v>43</v>
      </c>
      <c r="R24" t="s">
        <v>44</v>
      </c>
      <c r="T24">
        <v>14576375</v>
      </c>
      <c r="AN24" s="7">
        <v>44064</v>
      </c>
    </row>
    <row r="25" spans="17:40">
      <c r="Q25" t="s">
        <v>43</v>
      </c>
      <c r="R25" t="s">
        <v>44</v>
      </c>
      <c r="T25">
        <v>14576375</v>
      </c>
      <c r="AN25" s="7">
        <v>44064</v>
      </c>
    </row>
    <row r="26" spans="17:40">
      <c r="Q26" t="s">
        <v>43</v>
      </c>
      <c r="R26" t="s">
        <v>44</v>
      </c>
      <c r="T26">
        <v>14576375</v>
      </c>
      <c r="AN26" s="7">
        <v>44064</v>
      </c>
    </row>
    <row r="27" spans="17:40">
      <c r="Q27" t="s">
        <v>43</v>
      </c>
      <c r="R27" t="s">
        <v>44</v>
      </c>
      <c r="T27">
        <v>14576375</v>
      </c>
      <c r="AN27" s="7">
        <v>44064</v>
      </c>
    </row>
  </sheetData>
  <conditionalFormatting sqref="O1:AG1 B1:M1">
    <cfRule type="duplicateValues" dxfId="55" priority="4"/>
  </conditionalFormatting>
  <conditionalFormatting sqref="N1">
    <cfRule type="duplicateValues" dxfId="54" priority="3"/>
  </conditionalFormatting>
  <conditionalFormatting sqref="O1:AN1">
    <cfRule type="duplicateValues" dxfId="53" priority="2"/>
  </conditionalFormatting>
  <conditionalFormatting sqref="A1">
    <cfRule type="duplicateValues" dxfId="52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1FFF-CBA8-4C3E-9BFE-CEA14A27C9CF}">
  <dimension ref="A1:AN11"/>
  <sheetViews>
    <sheetView topLeftCell="A3" zoomScaleNormal="100" workbookViewId="0">
      <selection activeCell="K2" sqref="K2"/>
    </sheetView>
  </sheetViews>
  <sheetFormatPr defaultRowHeight="14.45"/>
  <cols>
    <col min="2" max="2" width="10" bestFit="1" customWidth="1"/>
    <col min="3" max="3" width="11.42578125" bestFit="1" customWidth="1"/>
    <col min="4" max="4" width="17.85546875" bestFit="1" customWidth="1"/>
    <col min="5" max="5" width="18.140625" bestFit="1" customWidth="1"/>
    <col min="6" max="6" width="18.85546875" bestFit="1" customWidth="1"/>
    <col min="7" max="7" width="15.28515625" bestFit="1" customWidth="1"/>
    <col min="8" max="8" width="14" bestFit="1" customWidth="1"/>
    <col min="9" max="9" width="8" bestFit="1" customWidth="1"/>
    <col min="10" max="10" width="10.5703125" bestFit="1" customWidth="1"/>
    <col min="11" max="11" width="19.28515625" customWidth="1"/>
    <col min="12" max="12" width="18" bestFit="1" customWidth="1"/>
    <col min="13" max="13" width="20.42578125" bestFit="1" customWidth="1"/>
    <col min="14" max="14" width="17" bestFit="1" customWidth="1"/>
    <col min="15" max="15" width="16.7109375" bestFit="1" customWidth="1"/>
    <col min="16" max="16" width="11.85546875" bestFit="1" customWidth="1"/>
    <col min="17" max="17" width="16.42578125" bestFit="1" customWidth="1"/>
    <col min="18" max="18" width="17.7109375" bestFit="1" customWidth="1"/>
    <col min="19" max="19" width="19" bestFit="1" customWidth="1"/>
    <col min="20" max="20" width="9.5703125" bestFit="1" customWidth="1"/>
    <col min="21" max="21" width="7.42578125" bestFit="1" customWidth="1"/>
    <col min="22" max="22" width="12.42578125" bestFit="1" customWidth="1"/>
    <col min="23" max="23" width="12.28515625" bestFit="1" customWidth="1"/>
    <col min="24" max="24" width="8.28515625" bestFit="1" customWidth="1"/>
    <col min="25" max="25" width="13.42578125" bestFit="1" customWidth="1"/>
    <col min="26" max="26" width="14.28515625" bestFit="1" customWidth="1"/>
    <col min="27" max="27" width="6.7109375" bestFit="1" customWidth="1"/>
    <col min="28" max="28" width="14" bestFit="1" customWidth="1"/>
    <col min="29" max="29" width="19" bestFit="1" customWidth="1"/>
    <col min="30" max="31" width="5.85546875" bestFit="1" customWidth="1"/>
    <col min="32" max="32" width="15.7109375" bestFit="1" customWidth="1"/>
    <col min="33" max="33" width="12.5703125" bestFit="1" customWidth="1"/>
    <col min="34" max="34" width="11.28515625" bestFit="1" customWidth="1"/>
    <col min="35" max="35" width="11.5703125" bestFit="1" customWidth="1"/>
    <col min="36" max="36" width="10" bestFit="1" customWidth="1"/>
    <col min="37" max="37" width="21.85546875" bestFit="1" customWidth="1"/>
    <col min="38" max="38" width="24.28515625" bestFit="1" customWidth="1"/>
    <col min="39" max="39" width="11.7109375" bestFit="1" customWidth="1"/>
    <col min="40" max="40" width="7.7109375" bestFit="1" customWidth="1"/>
  </cols>
  <sheetData>
    <row r="1" spans="1:40" ht="4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C2" s="7">
        <v>44065</v>
      </c>
      <c r="D2" s="5">
        <v>1212.6500000000001</v>
      </c>
      <c r="E2" s="4">
        <v>111488420</v>
      </c>
      <c r="G2" t="s">
        <v>41</v>
      </c>
      <c r="H2" t="s">
        <v>41</v>
      </c>
      <c r="I2" t="s">
        <v>41</v>
      </c>
      <c r="J2" t="s">
        <v>41</v>
      </c>
      <c r="K2" s="32" t="s">
        <v>42</v>
      </c>
      <c r="L2">
        <v>139.51</v>
      </c>
      <c r="M2" t="s">
        <v>41</v>
      </c>
      <c r="N2" t="s">
        <v>41</v>
      </c>
      <c r="O2" t="s">
        <v>41</v>
      </c>
      <c r="P2" t="s">
        <v>41</v>
      </c>
      <c r="Q2" t="s">
        <v>45</v>
      </c>
      <c r="R2" t="s">
        <v>46</v>
      </c>
      <c r="S2" t="s">
        <v>41</v>
      </c>
      <c r="T2">
        <v>14569183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>
        <v>23.15</v>
      </c>
      <c r="AD2" t="s">
        <v>41</v>
      </c>
      <c r="AE2" t="s">
        <v>41</v>
      </c>
      <c r="AF2" s="5">
        <v>1073.1400000000001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s="7">
        <v>44060</v>
      </c>
    </row>
    <row r="3" spans="1:40">
      <c r="Q3" t="s">
        <v>45</v>
      </c>
      <c r="R3" t="s">
        <v>46</v>
      </c>
      <c r="T3">
        <v>14569183</v>
      </c>
      <c r="AN3" s="7">
        <v>44060</v>
      </c>
    </row>
    <row r="4" spans="1:40">
      <c r="Q4" t="s">
        <v>45</v>
      </c>
      <c r="R4" t="s">
        <v>46</v>
      </c>
      <c r="T4">
        <v>14569183</v>
      </c>
      <c r="AN4" s="7">
        <v>44060</v>
      </c>
    </row>
    <row r="5" spans="1:40">
      <c r="Q5" t="s">
        <v>45</v>
      </c>
      <c r="R5" t="s">
        <v>46</v>
      </c>
      <c r="T5">
        <v>14569183</v>
      </c>
      <c r="AN5" s="7">
        <v>44060</v>
      </c>
    </row>
    <row r="6" spans="1:40">
      <c r="Q6" t="s">
        <v>45</v>
      </c>
      <c r="R6" t="s">
        <v>46</v>
      </c>
      <c r="T6">
        <v>14573486</v>
      </c>
      <c r="AN6" s="7">
        <v>44064</v>
      </c>
    </row>
    <row r="7" spans="1:40">
      <c r="Q7" t="s">
        <v>45</v>
      </c>
      <c r="R7" t="s">
        <v>46</v>
      </c>
      <c r="T7">
        <v>14573486</v>
      </c>
      <c r="AN7" s="7">
        <v>44064</v>
      </c>
    </row>
    <row r="8" spans="1:40">
      <c r="Q8" t="s">
        <v>45</v>
      </c>
      <c r="R8" t="s">
        <v>46</v>
      </c>
      <c r="T8">
        <v>14573486</v>
      </c>
      <c r="AN8" s="7">
        <v>44064</v>
      </c>
    </row>
    <row r="9" spans="1:40">
      <c r="Q9" t="s">
        <v>45</v>
      </c>
      <c r="R9" t="s">
        <v>46</v>
      </c>
      <c r="T9">
        <v>14573486</v>
      </c>
      <c r="AN9" s="7">
        <v>44064</v>
      </c>
    </row>
    <row r="10" spans="1:40">
      <c r="Q10" t="s">
        <v>45</v>
      </c>
      <c r="R10" t="s">
        <v>46</v>
      </c>
      <c r="T10">
        <v>14573486</v>
      </c>
      <c r="AN10" s="7">
        <v>44064</v>
      </c>
    </row>
    <row r="11" spans="1:40">
      <c r="Q11" t="s">
        <v>45</v>
      </c>
      <c r="R11" t="s">
        <v>46</v>
      </c>
      <c r="T11">
        <v>14573486</v>
      </c>
      <c r="AN11" s="7">
        <v>44064</v>
      </c>
    </row>
  </sheetData>
  <conditionalFormatting sqref="O1:AG1 B1:M1">
    <cfRule type="duplicateValues" dxfId="51" priority="4"/>
  </conditionalFormatting>
  <conditionalFormatting sqref="N1">
    <cfRule type="duplicateValues" dxfId="50" priority="3"/>
  </conditionalFormatting>
  <conditionalFormatting sqref="O1:AN1">
    <cfRule type="duplicateValues" dxfId="49" priority="2"/>
  </conditionalFormatting>
  <conditionalFormatting sqref="A1">
    <cfRule type="duplicateValues" dxfId="48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8AA4-CD69-4936-8A0B-E11839C0A98B}">
  <dimension ref="A1:AN3"/>
  <sheetViews>
    <sheetView workbookViewId="0"/>
  </sheetViews>
  <sheetFormatPr defaultRowHeight="14.45"/>
  <cols>
    <col min="3" max="3" width="12.85546875" customWidth="1"/>
    <col min="17" max="17" width="28.42578125" customWidth="1"/>
    <col min="18" max="18" width="18.28515625" customWidth="1"/>
    <col min="33" max="33" width="27.5703125" customWidth="1"/>
  </cols>
  <sheetData>
    <row r="1" spans="1:40" ht="4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>
      <c r="A2" t="s">
        <v>40</v>
      </c>
      <c r="B2" t="s">
        <v>41</v>
      </c>
      <c r="C2" s="7">
        <v>44037</v>
      </c>
      <c r="D2">
        <v>287.44</v>
      </c>
      <c r="E2" t="s">
        <v>47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>
        <v>287.44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48</v>
      </c>
      <c r="R2" t="s">
        <v>49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252.81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>
      <c r="AF3">
        <v>34.630000000000003</v>
      </c>
    </row>
  </sheetData>
  <conditionalFormatting sqref="O1:AG1 B1:M1">
    <cfRule type="duplicateValues" dxfId="47" priority="4"/>
  </conditionalFormatting>
  <conditionalFormatting sqref="N1">
    <cfRule type="duplicateValues" dxfId="46" priority="3"/>
  </conditionalFormatting>
  <conditionalFormatting sqref="O1:AN1">
    <cfRule type="duplicateValues" dxfId="45" priority="2"/>
  </conditionalFormatting>
  <conditionalFormatting sqref="A1">
    <cfRule type="duplicateValues" dxfId="44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8810-42A7-4D3D-90B9-3BDA307ACD0A}">
  <dimension ref="A1:AN36"/>
  <sheetViews>
    <sheetView topLeftCell="AA1" workbookViewId="0">
      <selection activeCell="Q2" sqref="Q2"/>
    </sheetView>
  </sheetViews>
  <sheetFormatPr defaultRowHeight="14.45"/>
  <cols>
    <col min="1" max="1" width="13.28515625" customWidth="1"/>
    <col min="2" max="2" width="9.5703125" bestFit="1" customWidth="1"/>
    <col min="3" max="3" width="11.42578125" bestFit="1" customWidth="1"/>
    <col min="4" max="4" width="17.85546875" bestFit="1" customWidth="1"/>
    <col min="5" max="5" width="18.140625" bestFit="1" customWidth="1"/>
    <col min="6" max="6" width="18.85546875" bestFit="1" customWidth="1"/>
    <col min="7" max="7" width="15.28515625" bestFit="1" customWidth="1"/>
    <col min="8" max="8" width="14" bestFit="1" customWidth="1"/>
    <col min="9" max="9" width="8" bestFit="1" customWidth="1"/>
    <col min="10" max="10" width="10.5703125" bestFit="1" customWidth="1"/>
    <col min="11" max="11" width="26.85546875" bestFit="1" customWidth="1"/>
    <col min="12" max="12" width="18" bestFit="1" customWidth="1"/>
    <col min="13" max="13" width="20.42578125" bestFit="1" customWidth="1"/>
    <col min="14" max="14" width="17" bestFit="1" customWidth="1"/>
    <col min="15" max="15" width="16.7109375" bestFit="1" customWidth="1"/>
    <col min="16" max="16" width="21" customWidth="1"/>
    <col min="17" max="17" width="16.42578125" bestFit="1" customWidth="1"/>
    <col min="18" max="18" width="14.28515625" bestFit="1" customWidth="1"/>
    <col min="19" max="19" width="27" customWidth="1"/>
    <col min="20" max="20" width="9.5703125" bestFit="1" customWidth="1"/>
    <col min="21" max="21" width="7.42578125" bestFit="1" customWidth="1"/>
    <col min="22" max="22" width="12.42578125" bestFit="1" customWidth="1"/>
    <col min="23" max="23" width="12.28515625" bestFit="1" customWidth="1"/>
    <col min="24" max="24" width="8.28515625" bestFit="1" customWidth="1"/>
    <col min="25" max="25" width="13.42578125" bestFit="1" customWidth="1"/>
    <col min="26" max="26" width="14.28515625" bestFit="1" customWidth="1"/>
    <col min="27" max="27" width="6.7109375" bestFit="1" customWidth="1"/>
    <col min="28" max="28" width="14" bestFit="1" customWidth="1"/>
    <col min="29" max="29" width="19" bestFit="1" customWidth="1"/>
    <col min="30" max="31" width="5.85546875" bestFit="1" customWidth="1"/>
    <col min="32" max="32" width="15.7109375" bestFit="1" customWidth="1"/>
    <col min="33" max="33" width="19.140625" customWidth="1"/>
    <col min="34" max="34" width="11.28515625" bestFit="1" customWidth="1"/>
    <col min="35" max="35" width="11.5703125" bestFit="1" customWidth="1"/>
    <col min="36" max="36" width="10" bestFit="1" customWidth="1"/>
    <col min="37" max="37" width="21.85546875" bestFit="1" customWidth="1"/>
    <col min="38" max="38" width="24.28515625" bestFit="1" customWidth="1"/>
    <col min="39" max="39" width="11.7109375" bestFit="1" customWidth="1"/>
    <col min="40" max="40" width="8.42578125" bestFit="1" customWidth="1"/>
  </cols>
  <sheetData>
    <row r="1" spans="1:40" ht="48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</row>
    <row r="2" spans="1:40" ht="36.6">
      <c r="A2" s="13" t="s">
        <v>40</v>
      </c>
      <c r="B2" s="13">
        <v>3300211258</v>
      </c>
      <c r="C2" s="14">
        <v>44065</v>
      </c>
      <c r="D2" s="15">
        <v>1772.4</v>
      </c>
      <c r="E2" s="13">
        <v>14574954</v>
      </c>
      <c r="F2" s="13">
        <v>14574954</v>
      </c>
      <c r="G2" s="13" t="s">
        <v>41</v>
      </c>
      <c r="H2" s="13" t="s">
        <v>41</v>
      </c>
      <c r="I2" s="13" t="s">
        <v>41</v>
      </c>
      <c r="J2" s="13" t="s">
        <v>41</v>
      </c>
      <c r="K2" s="15">
        <v>1772.4</v>
      </c>
      <c r="L2" s="13">
        <v>0</v>
      </c>
      <c r="M2" s="13">
        <v>0</v>
      </c>
      <c r="N2" s="16" t="s">
        <v>50</v>
      </c>
      <c r="O2" s="16" t="s">
        <v>51</v>
      </c>
      <c r="P2" s="16" t="s">
        <v>52</v>
      </c>
      <c r="Q2" s="13" t="s">
        <v>53</v>
      </c>
      <c r="R2" s="13" t="s">
        <v>53</v>
      </c>
      <c r="S2" s="16" t="s">
        <v>54</v>
      </c>
      <c r="T2" s="13">
        <v>14574954</v>
      </c>
      <c r="U2" s="16" t="s">
        <v>55</v>
      </c>
      <c r="V2" s="16" t="s">
        <v>56</v>
      </c>
      <c r="W2" s="16" t="s">
        <v>41</v>
      </c>
      <c r="X2" s="16" t="s">
        <v>57</v>
      </c>
      <c r="Y2" s="16" t="s">
        <v>57</v>
      </c>
      <c r="Z2" s="16" t="s">
        <v>41</v>
      </c>
      <c r="AA2" s="13" t="s">
        <v>41</v>
      </c>
      <c r="AB2" s="13" t="s">
        <v>41</v>
      </c>
      <c r="AC2" s="13" t="s">
        <v>41</v>
      </c>
      <c r="AD2" s="13" t="s">
        <v>41</v>
      </c>
      <c r="AE2" s="13" t="s">
        <v>41</v>
      </c>
      <c r="AF2" s="17" t="s">
        <v>58</v>
      </c>
      <c r="AG2" s="16"/>
      <c r="AH2" s="13" t="s">
        <v>41</v>
      </c>
      <c r="AI2" s="13" t="s">
        <v>41</v>
      </c>
      <c r="AJ2" s="13" t="s">
        <v>41</v>
      </c>
      <c r="AK2" s="13">
        <v>0</v>
      </c>
      <c r="AL2" s="13">
        <v>0</v>
      </c>
      <c r="AM2" s="13" t="s">
        <v>41</v>
      </c>
      <c r="AN2" s="14">
        <v>44065</v>
      </c>
    </row>
    <row r="3" spans="1:40">
      <c r="O3" s="25">
        <v>31911507</v>
      </c>
      <c r="P3" s="26">
        <v>10058300462124</v>
      </c>
      <c r="Q3" s="13" t="s">
        <v>53</v>
      </c>
      <c r="R3" s="13" t="s">
        <v>53</v>
      </c>
      <c r="S3" s="25" t="s">
        <v>59</v>
      </c>
      <c r="T3" s="4"/>
      <c r="U3" s="25">
        <v>320</v>
      </c>
      <c r="V3" s="25">
        <v>280</v>
      </c>
      <c r="W3" s="16" t="s">
        <v>41</v>
      </c>
      <c r="X3" s="25">
        <v>29.54</v>
      </c>
      <c r="Y3" s="25">
        <v>29.54</v>
      </c>
      <c r="Z3" s="4"/>
      <c r="AA3" s="4"/>
      <c r="AB3" s="4"/>
      <c r="AC3" s="4"/>
      <c r="AD3" s="4"/>
      <c r="AE3" s="4"/>
      <c r="AF3" s="25">
        <v>1181.5999999999999</v>
      </c>
      <c r="AG3" s="25"/>
    </row>
    <row r="4" spans="1:40" ht="15">
      <c r="O4" s="25"/>
      <c r="P4" s="26"/>
      <c r="Q4" s="38"/>
      <c r="R4" s="38"/>
      <c r="S4" s="25"/>
      <c r="T4" s="4"/>
      <c r="U4" s="25"/>
      <c r="V4" s="25"/>
      <c r="W4" s="39"/>
      <c r="X4" s="25"/>
      <c r="Y4" s="25"/>
      <c r="Z4" s="4"/>
      <c r="AA4" s="4"/>
      <c r="AB4" s="4"/>
      <c r="AC4" s="4"/>
      <c r="AD4" s="4"/>
      <c r="AE4" s="4"/>
      <c r="AF4" s="25"/>
      <c r="AG4" s="25"/>
    </row>
    <row r="7" spans="1:40">
      <c r="H7" s="18"/>
    </row>
    <row r="9" spans="1:40" ht="15" thickBot="1"/>
    <row r="10" spans="1:40" ht="15" thickBot="1">
      <c r="U10" s="44" t="s">
        <v>60</v>
      </c>
      <c r="V10" s="45"/>
      <c r="W10" s="45"/>
      <c r="X10" s="45"/>
      <c r="Y10" s="45"/>
      <c r="Z10" s="45"/>
      <c r="AA10" s="46"/>
    </row>
    <row r="11" spans="1:40" ht="15" thickBot="1">
      <c r="U11" s="44" t="s">
        <v>61</v>
      </c>
      <c r="V11" s="45"/>
      <c r="W11" s="45"/>
      <c r="X11" s="45"/>
      <c r="Y11" s="45"/>
      <c r="Z11" s="45"/>
      <c r="AA11" s="46"/>
    </row>
    <row r="34" spans="1:1" ht="15" thickBot="1"/>
    <row r="35" spans="1:1" ht="15" thickBot="1">
      <c r="A35" s="19" t="s">
        <v>62</v>
      </c>
    </row>
    <row r="36" spans="1:1">
      <c r="A36" s="18"/>
    </row>
  </sheetData>
  <mergeCells count="2">
    <mergeCell ref="U11:AA11"/>
    <mergeCell ref="U10:AA10"/>
  </mergeCells>
  <conditionalFormatting sqref="O1:AG1 B1:M1">
    <cfRule type="duplicateValues" dxfId="43" priority="4"/>
  </conditionalFormatting>
  <conditionalFormatting sqref="N1">
    <cfRule type="duplicateValues" dxfId="42" priority="3"/>
  </conditionalFormatting>
  <conditionalFormatting sqref="O1:AN1">
    <cfRule type="duplicateValues" dxfId="41" priority="2"/>
  </conditionalFormatting>
  <conditionalFormatting sqref="A1">
    <cfRule type="duplicateValues" dxfId="40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18C1B-BAB3-441B-8AE8-50A063603538}">
  <dimension ref="A1:AN5"/>
  <sheetViews>
    <sheetView workbookViewId="0">
      <selection activeCell="J7" sqref="J7"/>
    </sheetView>
  </sheetViews>
  <sheetFormatPr defaultRowHeight="14.45"/>
  <cols>
    <col min="5" max="5" width="10" bestFit="1" customWidth="1"/>
    <col min="32" max="32" width="10" bestFit="1" customWidth="1"/>
  </cols>
  <sheetData>
    <row r="1" spans="1:40" s="21" customFormat="1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</row>
    <row r="2" spans="1:40">
      <c r="A2" t="s">
        <v>40</v>
      </c>
      <c r="B2" t="s">
        <v>41</v>
      </c>
      <c r="C2" s="7">
        <v>44072</v>
      </c>
      <c r="D2" s="5">
        <v>15611.33</v>
      </c>
      <c r="E2">
        <v>404990256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s="5" t="s">
        <v>41</v>
      </c>
      <c r="L2">
        <v>0</v>
      </c>
      <c r="M2">
        <v>0</v>
      </c>
      <c r="N2" t="s">
        <v>41</v>
      </c>
      <c r="O2">
        <v>3007</v>
      </c>
      <c r="P2">
        <v>0</v>
      </c>
      <c r="Q2" t="s">
        <v>63</v>
      </c>
      <c r="R2" t="s">
        <v>64</v>
      </c>
      <c r="S2" t="s">
        <v>65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s="27">
        <v>624.9</v>
      </c>
      <c r="AG2" t="s">
        <v>66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>
      <c r="O3">
        <v>2985</v>
      </c>
      <c r="P3">
        <v>0</v>
      </c>
      <c r="R3" t="s">
        <v>64</v>
      </c>
      <c r="S3" t="s">
        <v>67</v>
      </c>
      <c r="AF3" s="28">
        <v>14986.43</v>
      </c>
      <c r="AG3" t="s">
        <v>66</v>
      </c>
    </row>
    <row r="5" spans="1:40">
      <c r="E5" s="5"/>
    </row>
  </sheetData>
  <conditionalFormatting sqref="O1:AG1 B1:M1">
    <cfRule type="duplicateValues" dxfId="39" priority="4"/>
  </conditionalFormatting>
  <conditionalFormatting sqref="N1">
    <cfRule type="duplicateValues" dxfId="38" priority="3"/>
  </conditionalFormatting>
  <conditionalFormatting sqref="O1:AN1">
    <cfRule type="duplicateValues" dxfId="37" priority="2"/>
  </conditionalFormatting>
  <conditionalFormatting sqref="A1">
    <cfRule type="duplicateValues" dxfId="36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7026-EFC4-4B94-891E-13A901654C96}">
  <dimension ref="A1:AN3"/>
  <sheetViews>
    <sheetView topLeftCell="A2" zoomScale="85" zoomScaleNormal="85" workbookViewId="0">
      <selection activeCell="AF10" sqref="AF10"/>
    </sheetView>
  </sheetViews>
  <sheetFormatPr defaultRowHeight="14.45"/>
  <cols>
    <col min="3" max="3" width="9.7109375" bestFit="1" customWidth="1"/>
    <col min="5" max="5" width="18" bestFit="1" customWidth="1"/>
    <col min="15" max="15" width="9.85546875" bestFit="1" customWidth="1"/>
    <col min="17" max="17" width="21.85546875" customWidth="1"/>
    <col min="32" max="32" width="9.28515625" bestFit="1" customWidth="1"/>
  </cols>
  <sheetData>
    <row r="1" spans="1:40" s="21" customFormat="1" ht="6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0" ht="76.5">
      <c r="A2" t="s">
        <v>40</v>
      </c>
      <c r="B2" t="s">
        <v>41</v>
      </c>
      <c r="C2" s="7">
        <v>44062</v>
      </c>
      <c r="D2">
        <v>19369.61</v>
      </c>
      <c r="E2">
        <v>892011082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>
        <v>18335.88</v>
      </c>
      <c r="L2">
        <v>345.15</v>
      </c>
      <c r="M2">
        <v>688.58</v>
      </c>
      <c r="N2" t="s">
        <v>41</v>
      </c>
      <c r="O2">
        <v>10036920</v>
      </c>
      <c r="P2" t="s">
        <v>41</v>
      </c>
      <c r="Q2" s="21" t="s">
        <v>68</v>
      </c>
      <c r="R2" t="s">
        <v>64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11432.86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>
      <c r="O3">
        <v>10036924</v>
      </c>
      <c r="Q3" t="s">
        <v>68</v>
      </c>
      <c r="R3" t="s">
        <v>64</v>
      </c>
      <c r="AF3">
        <v>6903.02</v>
      </c>
    </row>
  </sheetData>
  <conditionalFormatting sqref="O1:AG1 B1:M1">
    <cfRule type="duplicateValues" dxfId="35" priority="4"/>
  </conditionalFormatting>
  <conditionalFormatting sqref="N1">
    <cfRule type="duplicateValues" dxfId="34" priority="3"/>
  </conditionalFormatting>
  <conditionalFormatting sqref="O1:AN1">
    <cfRule type="duplicateValues" dxfId="33" priority="2"/>
  </conditionalFormatting>
  <conditionalFormatting sqref="A1">
    <cfRule type="duplicateValues" dxfId="32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B4AA-BC38-4283-9C03-4C3D77FC3E43}">
  <dimension ref="A1:AN2"/>
  <sheetViews>
    <sheetView zoomScale="55" zoomScaleNormal="55" workbookViewId="0">
      <selection activeCell="C2" sqref="C2"/>
    </sheetView>
  </sheetViews>
  <sheetFormatPr defaultRowHeight="14.45"/>
  <cols>
    <col min="1" max="1" width="22.140625" customWidth="1"/>
    <col min="3" max="3" width="10.28515625" customWidth="1"/>
    <col min="4" max="4" width="9.7109375" customWidth="1"/>
    <col min="5" max="5" width="11.5703125" customWidth="1"/>
    <col min="12" max="12" width="7.42578125" customWidth="1"/>
    <col min="14" max="14" width="13.85546875" customWidth="1"/>
    <col min="15" max="15" width="9.85546875" bestFit="1" customWidth="1"/>
    <col min="17" max="17" width="12.42578125" customWidth="1"/>
    <col min="19" max="19" width="20.140625" customWidth="1"/>
    <col min="25" max="25" width="16.85546875" customWidth="1"/>
    <col min="32" max="32" width="18.7109375" customWidth="1"/>
  </cols>
  <sheetData>
    <row r="1" spans="1:40" ht="60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6" t="s">
        <v>39</v>
      </c>
    </row>
    <row r="2" spans="1:40">
      <c r="A2" t="s">
        <v>40</v>
      </c>
      <c r="B2" t="s">
        <v>41</v>
      </c>
      <c r="C2" s="24">
        <v>44406</v>
      </c>
      <c r="D2" s="5">
        <v>36083.33</v>
      </c>
      <c r="E2">
        <v>70810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69</v>
      </c>
      <c r="M2" t="s">
        <v>41</v>
      </c>
      <c r="N2" t="s">
        <v>41</v>
      </c>
      <c r="O2">
        <v>101039080</v>
      </c>
      <c r="Q2" t="s">
        <v>70</v>
      </c>
      <c r="S2" t="s">
        <v>71</v>
      </c>
      <c r="T2" t="s">
        <v>41</v>
      </c>
      <c r="U2" t="s">
        <v>41</v>
      </c>
      <c r="V2">
        <v>74</v>
      </c>
      <c r="W2" t="s">
        <v>41</v>
      </c>
      <c r="Y2">
        <v>414.1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72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</sheetData>
  <conditionalFormatting sqref="O1:AG1 B1:M1">
    <cfRule type="duplicateValues" dxfId="31" priority="4"/>
  </conditionalFormatting>
  <conditionalFormatting sqref="N1">
    <cfRule type="duplicateValues" dxfId="30" priority="3"/>
  </conditionalFormatting>
  <conditionalFormatting sqref="O1:AN1">
    <cfRule type="duplicateValues" dxfId="29" priority="2"/>
  </conditionalFormatting>
  <conditionalFormatting sqref="A1">
    <cfRule type="duplicateValues" dxfId="28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3D83-D21F-4081-803D-EF39D1A04911}">
  <dimension ref="A1:AN14"/>
  <sheetViews>
    <sheetView workbookViewId="0">
      <selection activeCell="K15" sqref="K15"/>
    </sheetView>
  </sheetViews>
  <sheetFormatPr defaultRowHeight="14.45"/>
  <cols>
    <col min="3" max="3" width="9.85546875" bestFit="1" customWidth="1"/>
    <col min="15" max="15" width="10" bestFit="1" customWidth="1"/>
    <col min="17" max="17" width="19.42578125" customWidth="1"/>
    <col min="18" max="18" width="14.85546875" customWidth="1"/>
  </cols>
  <sheetData>
    <row r="1" spans="1:40" s="21" customFormat="1" ht="6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0">
      <c r="A2" t="s">
        <v>40</v>
      </c>
      <c r="B2" t="s">
        <v>41</v>
      </c>
      <c r="C2" s="24">
        <v>44058</v>
      </c>
      <c r="D2">
        <v>292.32</v>
      </c>
      <c r="E2">
        <v>61581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>
        <v>292.32</v>
      </c>
      <c r="L2">
        <v>0</v>
      </c>
      <c r="M2">
        <v>0</v>
      </c>
      <c r="N2" t="s">
        <v>41</v>
      </c>
      <c r="O2">
        <v>113122050</v>
      </c>
      <c r="P2" t="s">
        <v>41</v>
      </c>
      <c r="Q2" t="s">
        <v>73</v>
      </c>
      <c r="R2" t="s">
        <v>64</v>
      </c>
      <c r="S2" t="s">
        <v>74</v>
      </c>
      <c r="T2" t="s">
        <v>41</v>
      </c>
      <c r="U2">
        <v>14</v>
      </c>
      <c r="V2" s="32" t="s">
        <v>41</v>
      </c>
      <c r="W2" t="s">
        <v>41</v>
      </c>
      <c r="X2">
        <v>20.88</v>
      </c>
      <c r="Y2" s="3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292.32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>
      <c r="Q3" s="18" t="s">
        <v>75</v>
      </c>
      <c r="R3" s="18" t="s">
        <v>64</v>
      </c>
    </row>
    <row r="4" spans="1:40">
      <c r="Q4" t="s">
        <v>76</v>
      </c>
      <c r="R4" s="37" t="s">
        <v>53</v>
      </c>
    </row>
    <row r="5" spans="1:40">
      <c r="Q5" t="s">
        <v>77</v>
      </c>
      <c r="R5" s="37" t="s">
        <v>53</v>
      </c>
    </row>
    <row r="6" spans="1:40">
      <c r="Q6" t="s">
        <v>78</v>
      </c>
      <c r="R6" s="18" t="s">
        <v>64</v>
      </c>
    </row>
    <row r="7" spans="1:40">
      <c r="Q7" t="s">
        <v>79</v>
      </c>
      <c r="R7" s="18" t="s">
        <v>64</v>
      </c>
    </row>
    <row r="8" spans="1:40">
      <c r="Q8" t="s">
        <v>80</v>
      </c>
      <c r="R8" s="18" t="s">
        <v>64</v>
      </c>
    </row>
    <row r="9" spans="1:40">
      <c r="Q9" t="s">
        <v>81</v>
      </c>
      <c r="R9" s="18" t="s">
        <v>64</v>
      </c>
    </row>
    <row r="10" spans="1:40">
      <c r="Q10" t="s">
        <v>82</v>
      </c>
      <c r="R10" s="18" t="s">
        <v>64</v>
      </c>
    </row>
    <row r="14" spans="1:40">
      <c r="Q14" s="47" t="s">
        <v>83</v>
      </c>
      <c r="R14" s="47"/>
      <c r="S14" s="47"/>
      <c r="T14" s="47"/>
    </row>
  </sheetData>
  <mergeCells count="1">
    <mergeCell ref="Q14:T14"/>
  </mergeCells>
  <conditionalFormatting sqref="O1:AG1 B1:M1">
    <cfRule type="duplicateValues" dxfId="27" priority="4"/>
  </conditionalFormatting>
  <conditionalFormatting sqref="N1">
    <cfRule type="duplicateValues" dxfId="26" priority="3"/>
  </conditionalFormatting>
  <conditionalFormatting sqref="O1:AN1">
    <cfRule type="duplicateValues" dxfId="25" priority="2"/>
  </conditionalFormatting>
  <conditionalFormatting sqref="A1">
    <cfRule type="duplicateValues" dxfId="24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9E44-24A3-4A46-99B4-44E85A36865A}">
  <dimension ref="A1:AN11"/>
  <sheetViews>
    <sheetView zoomScale="55" zoomScaleNormal="55" workbookViewId="0">
      <selection activeCell="AE31" sqref="AE31"/>
    </sheetView>
  </sheetViews>
  <sheetFormatPr defaultRowHeight="14.45"/>
  <cols>
    <col min="1" max="1" width="15.42578125" customWidth="1"/>
    <col min="3" max="3" width="13.42578125" customWidth="1"/>
    <col min="15" max="15" width="11.5703125" customWidth="1"/>
  </cols>
  <sheetData>
    <row r="1" spans="1:40" ht="6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0">
      <c r="A2" t="s">
        <v>40</v>
      </c>
      <c r="B2" t="s">
        <v>41</v>
      </c>
      <c r="C2" s="24">
        <v>44373</v>
      </c>
      <c r="D2" s="30">
        <v>599.4</v>
      </c>
      <c r="E2">
        <v>90382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s="31">
        <v>530.44000000000005</v>
      </c>
      <c r="L2" s="30">
        <v>68.959999999999994</v>
      </c>
      <c r="M2">
        <v>0</v>
      </c>
      <c r="N2" t="s">
        <v>41</v>
      </c>
      <c r="O2">
        <v>333622010</v>
      </c>
      <c r="P2" t="s">
        <v>41</v>
      </c>
      <c r="Q2" t="s">
        <v>84</v>
      </c>
      <c r="R2" t="s">
        <v>85</v>
      </c>
      <c r="S2" t="s">
        <v>86</v>
      </c>
      <c r="T2" t="s">
        <v>41</v>
      </c>
      <c r="V2">
        <v>17</v>
      </c>
      <c r="W2" t="s">
        <v>41</v>
      </c>
      <c r="Y2" s="30">
        <v>124.81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s="30">
        <v>530.44000000000005</v>
      </c>
      <c r="AG2" t="s">
        <v>87</v>
      </c>
      <c r="AH2" t="s">
        <v>41</v>
      </c>
      <c r="AI2" t="s">
        <v>41</v>
      </c>
      <c r="AJ2" t="s">
        <v>41</v>
      </c>
      <c r="AK2" s="30">
        <v>68.959999999999994</v>
      </c>
      <c r="AL2" t="s">
        <v>41</v>
      </c>
      <c r="AM2" t="s">
        <v>41</v>
      </c>
      <c r="AN2" t="s">
        <v>41</v>
      </c>
    </row>
    <row r="10" spans="1:40" ht="15" thickBot="1"/>
    <row r="11" spans="1:40" ht="15" thickBot="1">
      <c r="K11" s="44" t="s">
        <v>88</v>
      </c>
      <c r="L11" s="45"/>
      <c r="M11" s="45"/>
      <c r="N11" s="45"/>
      <c r="O11" s="45"/>
      <c r="P11" s="46"/>
    </row>
  </sheetData>
  <mergeCells count="1">
    <mergeCell ref="K11:P11"/>
  </mergeCells>
  <conditionalFormatting sqref="O1:AG1 B1:M1">
    <cfRule type="duplicateValues" dxfId="23" priority="4"/>
  </conditionalFormatting>
  <conditionalFormatting sqref="N1">
    <cfRule type="duplicateValues" dxfId="22" priority="3"/>
  </conditionalFormatting>
  <conditionalFormatting sqref="O1:AN1">
    <cfRule type="duplicateValues" dxfId="21" priority="2"/>
  </conditionalFormatting>
  <conditionalFormatting sqref="A1">
    <cfRule type="duplicateValues" dxfId="20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19F5-5585-4B84-9ABA-0EC398DAA552}">
  <dimension ref="A1:AV10"/>
  <sheetViews>
    <sheetView workbookViewId="0">
      <selection activeCell="N15" sqref="N15"/>
    </sheetView>
  </sheetViews>
  <sheetFormatPr defaultRowHeight="14.45"/>
  <cols>
    <col min="5" max="5" width="19.5703125" customWidth="1"/>
    <col min="6" max="6" width="9.85546875" bestFit="1" customWidth="1"/>
    <col min="49" max="49" width="21.28515625" customWidth="1"/>
    <col min="50" max="50" width="21.7109375" customWidth="1"/>
    <col min="51" max="51" width="17.7109375" customWidth="1"/>
    <col min="52" max="52" width="16.140625" customWidth="1"/>
  </cols>
  <sheetData>
    <row r="1" spans="1:48" ht="6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8">
      <c r="A2" t="s">
        <v>40</v>
      </c>
      <c r="B2" t="s">
        <v>41</v>
      </c>
      <c r="C2" s="7">
        <v>43467</v>
      </c>
      <c r="D2">
        <v>1130</v>
      </c>
      <c r="E2" t="s">
        <v>89</v>
      </c>
      <c r="F2">
        <v>14404390</v>
      </c>
      <c r="G2" t="s">
        <v>41</v>
      </c>
      <c r="H2" t="s">
        <v>41</v>
      </c>
      <c r="I2" t="s">
        <v>41</v>
      </c>
      <c r="J2" t="s">
        <v>41</v>
      </c>
      <c r="K2">
        <v>1000</v>
      </c>
      <c r="L2">
        <v>130</v>
      </c>
      <c r="M2">
        <v>0</v>
      </c>
      <c r="N2" t="s">
        <v>90</v>
      </c>
      <c r="O2" t="s">
        <v>41</v>
      </c>
      <c r="P2" t="s">
        <v>41</v>
      </c>
      <c r="Q2" t="s">
        <v>91</v>
      </c>
      <c r="R2" t="s">
        <v>92</v>
      </c>
      <c r="S2" t="s">
        <v>41</v>
      </c>
      <c r="T2" t="s">
        <v>93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1000</v>
      </c>
      <c r="AG2" t="s">
        <v>41</v>
      </c>
      <c r="AH2" t="s">
        <v>41</v>
      </c>
      <c r="AI2" t="s">
        <v>41</v>
      </c>
      <c r="AJ2" t="s">
        <v>41</v>
      </c>
      <c r="AK2">
        <v>130</v>
      </c>
      <c r="AL2" t="s">
        <v>41</v>
      </c>
      <c r="AM2" t="s">
        <v>41</v>
      </c>
      <c r="AN2" s="7">
        <v>43467</v>
      </c>
    </row>
    <row r="9" spans="1:48" ht="15" thickBot="1"/>
    <row r="10" spans="1:48" ht="15" thickBot="1">
      <c r="AV10" s="29"/>
    </row>
  </sheetData>
  <conditionalFormatting sqref="O1:AG1 B1:M1">
    <cfRule type="duplicateValues" dxfId="19" priority="4"/>
  </conditionalFormatting>
  <conditionalFormatting sqref="N1">
    <cfRule type="duplicateValues" dxfId="18" priority="3"/>
  </conditionalFormatting>
  <conditionalFormatting sqref="O1:AN1">
    <cfRule type="duplicateValues" dxfId="17" priority="2"/>
  </conditionalFormatting>
  <conditionalFormatting sqref="A1">
    <cfRule type="duplicateValues" dxfId="16" priority="1"/>
  </conditionalFormatting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3365-51A7-4E72-9187-10325EA98DF5}">
  <dimension ref="A1:AN2"/>
  <sheetViews>
    <sheetView topLeftCell="A4" workbookViewId="0">
      <selection activeCell="M89" sqref="M89"/>
    </sheetView>
  </sheetViews>
  <sheetFormatPr defaultRowHeight="14.45"/>
  <cols>
    <col min="1" max="1" width="23.5703125" customWidth="1"/>
    <col min="3" max="3" width="12.5703125" customWidth="1"/>
    <col min="5" max="5" width="12.85546875" customWidth="1"/>
  </cols>
  <sheetData>
    <row r="1" spans="1:40" ht="6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0">
      <c r="A2" t="s">
        <v>40</v>
      </c>
      <c r="B2" t="s">
        <v>41</v>
      </c>
      <c r="C2" s="7">
        <v>43525</v>
      </c>
      <c r="D2">
        <v>2000</v>
      </c>
      <c r="E2">
        <v>100211881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>
        <v>2000</v>
      </c>
      <c r="L2">
        <v>0</v>
      </c>
      <c r="M2">
        <v>0</v>
      </c>
      <c r="N2" t="s">
        <v>41</v>
      </c>
      <c r="O2">
        <v>10050864</v>
      </c>
      <c r="P2" t="s">
        <v>41</v>
      </c>
      <c r="Q2" t="s">
        <v>94</v>
      </c>
      <c r="R2" t="s">
        <v>95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2000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s="7">
        <v>43891</v>
      </c>
    </row>
  </sheetData>
  <conditionalFormatting sqref="O1:AG1 B1:M1">
    <cfRule type="duplicateValues" dxfId="15" priority="4"/>
  </conditionalFormatting>
  <conditionalFormatting sqref="N1">
    <cfRule type="duplicateValues" dxfId="14" priority="3"/>
  </conditionalFormatting>
  <conditionalFormatting sqref="O1:AN1">
    <cfRule type="duplicateValues" dxfId="13" priority="2"/>
  </conditionalFormatting>
  <conditionalFormatting sqref="A1">
    <cfRule type="duplicateValues" dxfId="12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1BD-4AD3-486E-8027-8A03A8D68AA1}">
  <dimension ref="A1:AN2"/>
  <sheetViews>
    <sheetView workbookViewId="0"/>
  </sheetViews>
  <sheetFormatPr defaultRowHeight="14.45"/>
  <cols>
    <col min="1" max="1" width="17.7109375" bestFit="1" customWidth="1"/>
    <col min="2" max="4" width="11.42578125" bestFit="1" customWidth="1"/>
    <col min="5" max="5" width="23.42578125" customWidth="1"/>
    <col min="6" max="8" width="11.42578125" bestFit="1" customWidth="1"/>
    <col min="9" max="9" width="10" bestFit="1" customWidth="1"/>
    <col min="10" max="16" width="11.42578125" bestFit="1" customWidth="1"/>
    <col min="17" max="17" width="19.42578125" bestFit="1" customWidth="1"/>
    <col min="18" max="18" width="15.42578125" bestFit="1" customWidth="1"/>
    <col min="19" max="20" width="11.42578125" bestFit="1" customWidth="1"/>
    <col min="21" max="21" width="9.7109375" bestFit="1" customWidth="1"/>
    <col min="22" max="23" width="11.42578125" bestFit="1" customWidth="1"/>
    <col min="24" max="24" width="10.5703125" bestFit="1" customWidth="1"/>
    <col min="25" max="26" width="11.42578125" bestFit="1" customWidth="1"/>
    <col min="28" max="29" width="11.42578125" bestFit="1" customWidth="1"/>
    <col min="32" max="39" width="11.42578125" bestFit="1" customWidth="1"/>
    <col min="40" max="40" width="9.7109375" bestFit="1" customWidth="1"/>
  </cols>
  <sheetData>
    <row r="1" spans="1:40" ht="50.25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2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2" t="s">
        <v>34</v>
      </c>
      <c r="AJ1" s="42" t="s">
        <v>35</v>
      </c>
      <c r="AK1" s="42" t="s">
        <v>36</v>
      </c>
      <c r="AL1" s="42" t="s">
        <v>37</v>
      </c>
      <c r="AM1" s="42" t="s">
        <v>38</v>
      </c>
      <c r="AN1" s="43" t="s">
        <v>39</v>
      </c>
    </row>
    <row r="2" spans="1:40" ht="15">
      <c r="A2" t="s">
        <v>40</v>
      </c>
      <c r="B2" t="s">
        <v>41</v>
      </c>
      <c r="C2" s="7">
        <v>43869</v>
      </c>
      <c r="D2">
        <v>700.6</v>
      </c>
      <c r="E2" t="s">
        <v>96</v>
      </c>
      <c r="F2">
        <v>14434711</v>
      </c>
      <c r="G2" t="s">
        <v>41</v>
      </c>
      <c r="H2" t="s">
        <v>41</v>
      </c>
      <c r="I2" t="s">
        <v>41</v>
      </c>
      <c r="J2" t="s">
        <v>41</v>
      </c>
      <c r="K2">
        <v>700.6</v>
      </c>
      <c r="L2">
        <v>80.599999999999994</v>
      </c>
      <c r="M2">
        <v>0</v>
      </c>
      <c r="O2" t="s">
        <v>41</v>
      </c>
      <c r="P2" t="s">
        <v>41</v>
      </c>
      <c r="Q2" t="s">
        <v>97</v>
      </c>
      <c r="R2" t="s">
        <v>92</v>
      </c>
      <c r="S2" t="s">
        <v>41</v>
      </c>
      <c r="T2">
        <v>14434711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620</v>
      </c>
      <c r="AG2" t="s">
        <v>41</v>
      </c>
      <c r="AH2" t="s">
        <v>41</v>
      </c>
      <c r="AI2" t="s">
        <v>41</v>
      </c>
      <c r="AJ2" t="s">
        <v>41</v>
      </c>
      <c r="AK2">
        <v>80.599999999999994</v>
      </c>
      <c r="AL2" t="s">
        <v>41</v>
      </c>
      <c r="AM2" t="s">
        <v>41</v>
      </c>
      <c r="AN2" s="7">
        <v>43869</v>
      </c>
    </row>
  </sheetData>
  <conditionalFormatting sqref="O1:AG1 B1:M1">
    <cfRule type="duplicateValues" dxfId="11" priority="4"/>
  </conditionalFormatting>
  <conditionalFormatting sqref="N1">
    <cfRule type="duplicateValues" dxfId="10" priority="3"/>
  </conditionalFormatting>
  <conditionalFormatting sqref="O1:AN1">
    <cfRule type="duplicateValues" dxfId="9" priority="2"/>
  </conditionalFormatting>
  <conditionalFormatting sqref="A1">
    <cfRule type="duplicateValues" dxfId="8" priority="1"/>
  </conditionalFormatting>
  <pageMargins left="0.7" right="0.7" top="0.75" bottom="0.75" header="0.3" footer="0.3"/>
  <customProperties>
    <customPr name="_pios_id" r:id="rId1"/>
  </customProperties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7595-40B4-4778-8B7D-FF134062167E}">
  <dimension ref="A1:AN3"/>
  <sheetViews>
    <sheetView workbookViewId="0">
      <selection activeCell="O14" sqref="O14"/>
    </sheetView>
  </sheetViews>
  <sheetFormatPr defaultRowHeight="14.45"/>
  <cols>
    <col min="2" max="2" width="10.42578125" customWidth="1"/>
    <col min="3" max="3" width="11.42578125" bestFit="1" customWidth="1"/>
    <col min="5" max="5" width="19.28515625" customWidth="1"/>
  </cols>
  <sheetData>
    <row r="1" spans="1:40" ht="4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3" t="s">
        <v>39</v>
      </c>
    </row>
    <row r="2" spans="1:40">
      <c r="A2" t="s">
        <v>40</v>
      </c>
      <c r="B2">
        <v>892113084</v>
      </c>
      <c r="C2" s="7">
        <v>44491</v>
      </c>
      <c r="D2">
        <v>35087.86</v>
      </c>
      <c r="E2">
        <v>892113084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>
        <v>34489.93</v>
      </c>
      <c r="L2">
        <v>597.92999999999995</v>
      </c>
      <c r="M2">
        <v>0</v>
      </c>
      <c r="N2" t="s">
        <v>41</v>
      </c>
      <c r="P2" t="s">
        <v>41</v>
      </c>
      <c r="Q2" t="s">
        <v>98</v>
      </c>
      <c r="R2" t="s">
        <v>99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>
        <v>22531.39</v>
      </c>
      <c r="AG2" t="s">
        <v>41</v>
      </c>
      <c r="AH2" t="s">
        <v>41</v>
      </c>
      <c r="AI2" t="s">
        <v>41</v>
      </c>
      <c r="AJ2" t="s">
        <v>41</v>
      </c>
      <c r="AK2">
        <v>597.92999999999995</v>
      </c>
      <c r="AL2" t="s">
        <v>41</v>
      </c>
      <c r="AM2" t="s">
        <v>41</v>
      </c>
      <c r="AN2" s="7"/>
    </row>
    <row r="3" spans="1:40">
      <c r="Q3" t="s">
        <v>100</v>
      </c>
      <c r="R3" t="s">
        <v>99</v>
      </c>
    </row>
  </sheetData>
  <conditionalFormatting sqref="O1:AG1 B1:M1">
    <cfRule type="duplicateValues" dxfId="3" priority="4"/>
  </conditionalFormatting>
  <conditionalFormatting sqref="N1">
    <cfRule type="duplicateValues" dxfId="2" priority="3"/>
  </conditionalFormatting>
  <conditionalFormatting sqref="O1:AN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customProperties>
    <customPr name="_pios_id" r:id="rId1"/>
  </customPropertie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6cefa-7af4-402d-afc7-bd032a3531f9" xsi:nil="true"/>
    <lcf76f155ced4ddcb4097134ff3c332f xmlns="a00f7c86-6c05-42b2-9302-ad97095baa4a">
      <Terms xmlns="http://schemas.microsoft.com/office/infopath/2007/PartnerControls"/>
    </lcf76f155ced4ddcb4097134ff3c332f>
    <Location xmlns="a00f7c86-6c05-42b2-9302-ad97095baa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3064B74A08F489B54C48B31DC348E" ma:contentTypeVersion="18" ma:contentTypeDescription="Create a new document." ma:contentTypeScope="" ma:versionID="c565e569711b25298034ebc89d0a912d">
  <xsd:schema xmlns:xsd="http://www.w3.org/2001/XMLSchema" xmlns:xs="http://www.w3.org/2001/XMLSchema" xmlns:p="http://schemas.microsoft.com/office/2006/metadata/properties" xmlns:ns2="a00f7c86-6c05-42b2-9302-ad97095baa4a" xmlns:ns3="80e6cefa-7af4-402d-afc7-bd032a3531f9" targetNamespace="http://schemas.microsoft.com/office/2006/metadata/properties" ma:root="true" ma:fieldsID="2727beb593e2119e2cdb0e214d02e3ce" ns2:_="" ns3:_="">
    <xsd:import namespace="a00f7c86-6c05-42b2-9302-ad97095baa4a"/>
    <xsd:import namespace="80e6cefa-7af4-402d-afc7-bd032a353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Location" minOccurs="0"/>
                <xsd:element ref="ns2:CountryOrRegion1531dfc7-afef-474b-98c5-999bd61ecc47" minOccurs="0"/>
                <xsd:element ref="ns2:State1531dfc7-afef-474b-98c5-999bd61ecc47" minOccurs="0"/>
                <xsd:element ref="ns2:City1531dfc7-afef-474b-98c5-999bd61ecc47" minOccurs="0"/>
                <xsd:element ref="ns2:PostalCode1531dfc7-afef-474b-98c5-999bd61ecc47" minOccurs="0"/>
                <xsd:element ref="ns2:Street1531dfc7-afef-474b-98c5-999bd61ecc47" minOccurs="0"/>
                <xsd:element ref="ns2:GeoLoc1531dfc7-afef-474b-98c5-999bd61ecc47" minOccurs="0"/>
                <xsd:element ref="ns2:DispName1531dfc7-afef-474b-98c5-999bd61ecc4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f7c86-6c05-42b2-9302-ad97095ba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18" nillable="true" ma:displayName="Location" ma:format="Dropdown" ma:internalName="Location">
      <xsd:simpleType>
        <xsd:restriction base="dms:Unknown"/>
      </xsd:simpleType>
    </xsd:element>
    <xsd:element name="CountryOrRegion1531dfc7-afef-474b-98c5-999bd61ecc47" ma:index="19" nillable="true" ma:displayName="Location: Country/Region" ma:internalName="CountryOrRegion" ma:readOnly="true">
      <xsd:simpleType>
        <xsd:restriction base="dms:Text"/>
      </xsd:simpleType>
    </xsd:element>
    <xsd:element name="State1531dfc7-afef-474b-98c5-999bd61ecc47" ma:index="20" nillable="true" ma:displayName="Location: State" ma:internalName="State" ma:readOnly="true">
      <xsd:simpleType>
        <xsd:restriction base="dms:Text"/>
      </xsd:simpleType>
    </xsd:element>
    <xsd:element name="City1531dfc7-afef-474b-98c5-999bd61ecc47" ma:index="21" nillable="true" ma:displayName="Location: City" ma:internalName="City" ma:readOnly="true">
      <xsd:simpleType>
        <xsd:restriction base="dms:Text"/>
      </xsd:simpleType>
    </xsd:element>
    <xsd:element name="PostalCode1531dfc7-afef-474b-98c5-999bd61ecc47" ma:index="22" nillable="true" ma:displayName="Location: Postal Code" ma:internalName="PostalCode" ma:readOnly="true">
      <xsd:simpleType>
        <xsd:restriction base="dms:Text"/>
      </xsd:simpleType>
    </xsd:element>
    <xsd:element name="Street1531dfc7-afef-474b-98c5-999bd61ecc47" ma:index="23" nillable="true" ma:displayName="Location: Street" ma:internalName="Street" ma:readOnly="true">
      <xsd:simpleType>
        <xsd:restriction base="dms:Text"/>
      </xsd:simpleType>
    </xsd:element>
    <xsd:element name="GeoLoc1531dfc7-afef-474b-98c5-999bd61ecc47" ma:index="24" nillable="true" ma:displayName="Location: Coordinates" ma:internalName="GeoLoc" ma:readOnly="true">
      <xsd:simpleType>
        <xsd:restriction base="dms:Unknown"/>
      </xsd:simpleType>
    </xsd:element>
    <xsd:element name="DispName1531dfc7-afef-474b-98c5-999bd61ecc47" ma:index="25" nillable="true" ma:displayName="Location: Name" ma:internalName="DispNa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6cefa-7af4-402d-afc7-bd032a3531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2394cb9-5b9c-4808-9682-c9657c7009e3}" ma:internalName="TaxCatchAll" ma:showField="CatchAllData" ma:web="80e6cefa-7af4-402d-afc7-bd032a3531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E1EEB-D76A-489F-ADB1-142497946717}"/>
</file>

<file path=customXml/itemProps2.xml><?xml version="1.0" encoding="utf-8"?>
<ds:datastoreItem xmlns:ds="http://schemas.openxmlformats.org/officeDocument/2006/customXml" ds:itemID="{9E83E2CC-A066-4508-B730-21ACA64570B4}"/>
</file>

<file path=customXml/itemProps3.xml><?xml version="1.0" encoding="utf-8"?>
<ds:datastoreItem xmlns:ds="http://schemas.openxmlformats.org/officeDocument/2006/customXml" ds:itemID="{8A65CE5D-1919-486E-8E3D-5A428A63C75C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Dipeeka Barot</dc:creator>
  <cp:keywords/>
  <dc:description/>
  <cp:lastModifiedBy>Bhat, Aanchal</cp:lastModifiedBy>
  <cp:revision/>
  <dcterms:created xsi:type="dcterms:W3CDTF">2020-09-19T14:20:57Z</dcterms:created>
  <dcterms:modified xsi:type="dcterms:W3CDTF">2026-07-21T05:20:11Z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0x010100F0C3064B74A08F489B54C48B31DC348E</vt:lpwstr>
  </property>
  <property fmtid="{D5CDD505-2E9C-101B-9397-08002B2CF9AE}" pid="3" name="CustomUiType">
    <vt:lpwstr>2</vt:lpwstr>
  </property>
  <property fmtid="{D5CDD505-2E9C-101B-9397-08002B2CF9AE}" pid="4" name="CofWorkbookId">
    <vt:lpwstr>2824c585-3cb5-4d8c-b5d5-9736899a344f</vt:lpwstr>
  </property>
  <property fmtid="{D5CDD505-2E9C-101B-9397-08002B2CF9AE}" pid="5" name="MediaServiceImageTags">
    <vt:lpwstr/>
  </property>
</Properties>
</file>